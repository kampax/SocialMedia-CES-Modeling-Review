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Validacion CES" sheetId="2" r:id="rId5"/>
    <sheet state="visible" name="Pasarela" sheetId="3" r:id="rId6"/>
  </sheets>
  <definedNames/>
  <calcPr/>
  <extLst>
    <ext uri="GoogleSheetsCustomDataVersion2">
      <go:sheetsCustomData xmlns:go="http://customooxmlschemas.google.com/" r:id="rId7" roundtripDataChecksum="ngFLo/Jkfqfm1hFeE+8ECxhNCrAhObTPRX55L4+98iU="/>
    </ext>
  </extLst>
</workbook>
</file>

<file path=xl/sharedStrings.xml><?xml version="1.0" encoding="utf-8"?>
<sst xmlns="http://schemas.openxmlformats.org/spreadsheetml/2006/main" count="1224" uniqueCount="446">
  <si>
    <t>Considerations</t>
  </si>
  <si>
    <t>The CESs were assigned based on the definition given in the papers analyzed. In cases where no clear definition was given but it was mentioned that a model known as INVEST was used, the INVEST definition was used. In other cases, the tags used in each paper to assign a particular CES were used as a guide for our definition.</t>
  </si>
  <si>
    <t>In cases where we considered that based on the definition, the CESs should be divided into independent categories, we identified them with an asterisk (*).</t>
  </si>
  <si>
    <t>ID</t>
  </si>
  <si>
    <t>Title</t>
  </si>
  <si>
    <t>DOI</t>
  </si>
  <si>
    <t>DOI link</t>
  </si>
  <si>
    <t>original CES</t>
  </si>
  <si>
    <t xml:space="preserve">CES </t>
  </si>
  <si>
    <t>IPBES categories</t>
  </si>
  <si>
    <t>Codigo IPBES</t>
  </si>
  <si>
    <t>Definition</t>
  </si>
  <si>
    <t>well defined</t>
  </si>
  <si>
    <t>The use of crowdsourced geographic information for spatial evaluation of cultural ecosystem services in the agricultural landscape the case of Chianti Classico (Italy)</t>
  </si>
  <si>
    <t>10.30682/nm1902g</t>
  </si>
  <si>
    <t>CESs provided by viticultural landscapes</t>
  </si>
  <si>
    <t>Enjoy the landscape</t>
  </si>
  <si>
    <t>Centered on aesthetic appreciation of a protected area or natural landscape. The photos selected containing the tags “wine”, “vineyard”, “Chianti”, and related words, were filtered</t>
  </si>
  <si>
    <t>yes</t>
  </si>
  <si>
    <t>Social media and deep learning reveal specific cultural preferences for biodiversity</t>
  </si>
  <si>
    <t>10.1002/pan3.10466</t>
  </si>
  <si>
    <t>Cultural preferences for biodiversity</t>
  </si>
  <si>
    <t>Enjoy the fauna and flora</t>
  </si>
  <si>
    <t>We define a human interaction -species as an image that represents an individual species as its main theme and we greatly conceptualize these interactions as a cultural service related to the cognitive enjoyment of biodiversity. Based on a list of images of 36 species of birds available in Inaturalist, insects, plants, mammals, reptiles, fungi and others</t>
  </si>
  <si>
    <t>Scale dependency in drivers of outdoor recreation in England</t>
  </si>
  <si>
    <t>10.1002/pan3.10042</t>
  </si>
  <si>
    <t>Outdoor recreation</t>
  </si>
  <si>
    <t>Recreation</t>
  </si>
  <si>
    <t>Opportunities for outdoor recreation in England range from the use of local green spaces by walkers, dog walkers, community gardeners and families (day-to-day recreation) to planned trips to coastal areas and protected landscapes by hikers, mountain bikers, climbers and other tourists (destination recreation)</t>
  </si>
  <si>
    <t>Harnessing artificial intelligence technology and social media data to support Cultural Ecosystem Service assessments</t>
  </si>
  <si>
    <t>10.1002/pan3.10199</t>
  </si>
  <si>
    <t>Aesthetic value</t>
  </si>
  <si>
    <t>The definition is not exact but it says the following: For this work, we selected four CESs that are important for the UNESCO world heritage status and that are sensitive to the different pressures exerted by human use in the area, namely aesthetic value, outdoor recreation, cultural heritage and symbolic species (Locatelli et al., 2017)</t>
  </si>
  <si>
    <t>Symbolic species</t>
  </si>
  <si>
    <t>Cultural heritage</t>
  </si>
  <si>
    <t>Quantifying wildlife watchers' preferences to investigate the overlap between recreational and conservation value of natural areas</t>
  </si>
  <si>
    <t>10.1111/1365-2664.13274</t>
  </si>
  <si>
    <t xml:space="preserve">Nature-based recreation substantially benefits human wellbeing, for example, by improving physical and mental health. </t>
  </si>
  <si>
    <t>Characterizing nature-based recreation preferences in a Mediterranean small island environment using crowdsourced data</t>
  </si>
  <si>
    <t>10.1080/26395916.2023.2274594</t>
  </si>
  <si>
    <t>people's nature-based recreation</t>
  </si>
  <si>
    <t>The definition is not exact but it says the following: Labels defining nature-based recreation (i.e. diving, hiking or people recreating in nature) were used to categorize images depicting nature-based recreational activities</t>
  </si>
  <si>
    <t>Using social media data and machine learning to map recreational ecosystem services</t>
  </si>
  <si>
    <t>10.1016/j.ecolind.2023.110606</t>
  </si>
  <si>
    <t>Recreation measured from geotagged photographs posted to Flickr based on the locations of natural habitats and other features that factor into people’s decisions about where to recreate. Our analysis focuses on nature-based recreation, i.e., recreational activities involving physical and experiential interactions with the natural environment. We manually categorized all labels and classified them into ten categories that depict: 1) trees; 2) other vegetation types; 3) accessibility; 4) wildlife; 5) rocks, hills, and mountains; 6) water; 7) recreational activities; 8) accommodation; 9) general landscape features; and 10) attractions</t>
  </si>
  <si>
    <t>Cultural ecosystem services provided by rivers across diverse social-ecological landscapes: A social media analysis</t>
  </si>
  <si>
    <t>10.1016/j.ecolind.2019.105580</t>
  </si>
  <si>
    <t>Aesthetics</t>
  </si>
  <si>
    <t xml:space="preserve">The definition is not exact but these are the key words to define the CES: view, scene, sunset, wonder, abandon 
</t>
  </si>
  <si>
    <t>Cultural diversity</t>
  </si>
  <si>
    <t xml:space="preserve">The definition is not exact but these are the key words to define the CES: people, museum, indian, culture, river
</t>
  </si>
  <si>
    <t xml:space="preserve">The definition is not exact but these are the key words to define the CES: camping, tourism, memory, farm, art
</t>
  </si>
  <si>
    <t>Education</t>
  </si>
  <si>
    <t>Environmental education</t>
  </si>
  <si>
    <t xml:space="preserve">The definition is not exact but these are the key words to define the CES: think, museum, explore, class, discover
</t>
  </si>
  <si>
    <t>Existence</t>
  </si>
  <si>
    <t>Maintenance of options</t>
  </si>
  <si>
    <t xml:space="preserve">The definition is not exact but these are the key words to define the CES: river, water, park,Animals_ANY, wild
</t>
  </si>
  <si>
    <t>Inspiration*</t>
  </si>
  <si>
    <t>Psychological experiences</t>
  </si>
  <si>
    <t xml:space="preserve">The definition is not exact but these are the key words to define the CES: memory, love, think, art, wonder
</t>
  </si>
  <si>
    <t>no</t>
  </si>
  <si>
    <t>Artistic inspiration</t>
  </si>
  <si>
    <t>Learning and inspiration</t>
  </si>
  <si>
    <t>Knowledge systems</t>
  </si>
  <si>
    <t>Research</t>
  </si>
  <si>
    <t xml:space="preserve">The definition is not exact but these are the key words to define the CES: PlantParts, think, native, museum, discover
</t>
  </si>
  <si>
    <t xml:space="preserve">The definition is not exact but these are the key words to define the CES: travel, boating, camping, raft, cycle
</t>
  </si>
  <si>
    <t>Sense of place</t>
  </si>
  <si>
    <t xml:space="preserve">The definition is not exact but these are the key words to define the CES: abandon, historic, connect, Culture, folk
</t>
  </si>
  <si>
    <t>Social relations</t>
  </si>
  <si>
    <t>Supporting identities</t>
  </si>
  <si>
    <t xml:space="preserve">The definition is not exact but these are the key words to define the CES: wedding, family, celebrate, memory, love
</t>
  </si>
  <si>
    <t>Spiritual</t>
  </si>
  <si>
    <t>Spiritual significance</t>
  </si>
  <si>
    <t xml:space="preserve">The definition is not exact but these are the key words to define the CES: celebrate, memory, love, mission, reflect
</t>
  </si>
  <si>
    <t>Crowdsourcing indicators for cultural ecosystem services: A geographically weighted approach for mountain landscapes</t>
  </si>
  <si>
    <t>10.1016/j.ecolind.2015.12.042</t>
  </si>
  <si>
    <t>Physical and experiential interactions*</t>
  </si>
  <si>
    <t xml:space="preserve">Experiential use and enjoyment of wildlife – represented by photographs of wildlife </t>
  </si>
  <si>
    <t xml:space="preserve">Physical use of landscapes </t>
  </si>
  <si>
    <t>Photographs of sport and recreational activities, such as skiing, climbing, hiking, camping and others.</t>
  </si>
  <si>
    <t>Intellectual and representative interactions*</t>
  </si>
  <si>
    <t xml:space="preserve">Educational activities – represented by photographs of groups of students undertaking nature-related activities </t>
  </si>
  <si>
    <t>Landscape aesthetics – photographs of natural and anthropic landscapes</t>
  </si>
  <si>
    <t>Cultural heritage – representation of traditional livestock feeding practices and lifestyle related to agricultural heritage</t>
  </si>
  <si>
    <t>Combining social media photographs and species distribution models to map cultural ecosystem services: The case of a Natural Park in Portugal</t>
  </si>
  <si>
    <t>10.1016/j.ecolind.2018.08.043</t>
  </si>
  <si>
    <t>Cultural heritage and identity</t>
  </si>
  <si>
    <t>Value of landscapes, ecosystems, species or sites for local heritage and culture (including tangible and intangible heritage).</t>
  </si>
  <si>
    <t>Inspiration</t>
  </si>
  <si>
    <t>Use of landscapes, ecosystems and their elements in arts, architecture, advertising, local symbols, folklore, etc</t>
  </si>
  <si>
    <t>Opportunities provided by ecosystems (their biotic and abiotic elements) for recreational activities.</t>
  </si>
  <si>
    <t>Scientific and educational*</t>
  </si>
  <si>
    <t>Research or educational activities conducted through the natural environment of the ecosystem and its biological and non-biological components. Examples: Comments containing attractions for educational training or research activities, (e.g., educational bases).</t>
  </si>
  <si>
    <t>Spiritual and religious</t>
  </si>
  <si>
    <t>Use of landscapes, ecosystems and their elements for religious or spiritual purposes</t>
  </si>
  <si>
    <t>Explicit quantification of coastal cultural ecosystem services: A novel approach based on the content and sentimental analysis of social media</t>
  </si>
  <si>
    <t>10.1016/j.ecolind.2022.108756</t>
  </si>
  <si>
    <t>Aesthetic</t>
  </si>
  <si>
    <t>Aesthetic services are the combination of the pluralistic attractiveness of nature from the perspective of different civilizations. Coastal ecosystems are composed of various landscape elements, and their appreciation is evaluated from specific landscape elements and overall preferences.</t>
  </si>
  <si>
    <t>Amenity</t>
  </si>
  <si>
    <t xml:space="preserve">Amenity services represent the impact of natural components on human communities (Cochrane, 2006). A comfortable environment is visible and unique for both visitors and residents with reliable infrastructures in coastal attractions </t>
  </si>
  <si>
    <t>Knowledge*</t>
  </si>
  <si>
    <t>From indigenous knowledge systems to modern science, knowledge of the ecological environment is essential for the sustainable use of natural resources, climate change adaptation, and ecosystem resilience (Díaz et al., 2018, Haines-Young and Potschin-Young, 2018). The coastal ecosystem provides a material basis for scientific research and education. For example, coastal and oceanic observatories offer services for delivering high-quality environmental data to meet societal and political needs (El Serafy, 2020). Such an ecosystem enables people to draw on relevant knowledge identified as knowledge services. Recently, social media propagation has raised public awareness of the natural environment witnessed by both celebrities and ordinary people (Richards and Friess, 2015).</t>
  </si>
  <si>
    <t>Naturalistic</t>
  </si>
  <si>
    <t>Proenvironmental attitudes and behaviors and consciousness of mediating a proper relationship between all living organisms on Earth (Katz-Gerro and Orenstein, 2015) inspire people to pursue a greater sense of spiritual well-being. Notably, the coastal biome is one of the habitats with the greatest diversity of species in the world (Wolanski and McLusky, 2011). However, unique biomes such as mangroves and wetlands near coastal cities are threatened by extensive reclamation projects, depleting fish stocks, and coastal waters tainted by domestic waste and pollutants (Friess, 2017, Garcia Rodrigues et al., 2017). Thus, an assessment of naturalistic services is a preliminary practice for developing sustainable coastal tourism.</t>
  </si>
  <si>
    <t>Recreational</t>
  </si>
  <si>
    <t>Recreational services represent the cultural benefits arising from sports-related activities, which include land and water recreation (Jackson et al., 2013, Balzan and Debono, 2018, Havinga et al., 2020). Many outdoor recreational activities in coastal areas are dependent on the availability and distribution of ecosystems, including those for jogging, cycling, and sailing. Recreational services benefit people's health and well-being by providing a pleasant physical environment.</t>
  </si>
  <si>
    <t>Spiritual and religious*</t>
  </si>
  <si>
    <t>A sacred landscape in the wild is central to religious tourism or secular pilgrimage, arousing beliefs of the past and promoting a heritage of cultural memory (Hernández-Morcillo et al., 2013, Clemente et al., 2019). In residing in a coastal environment for centuries, communities with racial and ethnic differences have particular cultures of entertainment, recreation, social customs, and habits that shape religious beliefs and essential elements of their lives.</t>
  </si>
  <si>
    <t>Assessing forest recreational potential from social media data and remote sensing technologies data</t>
  </si>
  <si>
    <t>10.1016/j.ecolind.2023.110165</t>
  </si>
  <si>
    <t>Aesthetic activities</t>
  </si>
  <si>
    <t>In the aesthetic category, were included: (i) pictures depicting natural landscapes and skyscapes (ii) pictures depicting vegetation; (iii) pictures depicting natural features (e.g. mountains, lakes, streams, waterfalls, etc.)</t>
  </si>
  <si>
    <t>Recreational activities*</t>
  </si>
  <si>
    <t>In the recreation category, were included: (i) pictures depicting people engaging in recreational activities; (ii) pictures depicting equipment related to recreational activities, but not people; (iii) pictures depicting wildlife and wildlife viewing equipment.</t>
  </si>
  <si>
    <t>Assessing the supply and demand linkage of cultural ecosystem services in a typical county-level city with protected areas in China</t>
  </si>
  <si>
    <t>10.1016/j.ecolind.2023.109992</t>
  </si>
  <si>
    <t>Aesthetic inspiration*</t>
  </si>
  <si>
    <t>The area provides a rich source of inspiration for activities such as artistic creation, folklore, and architecture, and enables the enjoyment of beauty from different aspects.</t>
  </si>
  <si>
    <t>Education humanities*</t>
  </si>
  <si>
    <t>The area has important historical landscapes and objects of important cultural value, which transmit wisdom and knowledge.</t>
  </si>
  <si>
    <t>Recreation and ecotourism</t>
  </si>
  <si>
    <t>The area is characterized by a natural or man-made landscape, a place where people choose to rest and relax during their leisure time.</t>
  </si>
  <si>
    <t>Spatial analysis of cultural ecosystem services using data from social media: A guide to model selection for research and practice</t>
  </si>
  <si>
    <t>10.3897/oneeco.8.e95685</t>
  </si>
  <si>
    <t xml:space="preserve">general CES </t>
  </si>
  <si>
    <t>Non-material NCP</t>
  </si>
  <si>
    <t>15, 16, 17, 18</t>
  </si>
  <si>
    <t>We emphasise that this study considered in-situ cultural ecosystem services broadly without disaggregating specific services or assuming user intentions and, therefore, analysis is based on the location of the photographer, not the content captured in the photograph itself (which would require inspection)</t>
  </si>
  <si>
    <t>Using image recognition to automate assessment of cultural ecosystem services from social media photographs</t>
  </si>
  <si>
    <t>10.1016/j.ecoser.2017.09.004</t>
  </si>
  <si>
    <t xml:space="preserve">Hierarchical clustering was applied to define seven major groups of photographs, which were were: transport (n = 2768), plant (n = 2485), animal (n = 2951), food (n = 1540), people (n = 1951), sports (n = 727), and landscape and miscellaneous photographs (n = 10,626). </t>
  </si>
  <si>
    <t>Revealing spatial and temporal patterns of outdoor recreation in the European Alps and their surroundings</t>
  </si>
  <si>
    <t>10.1016/j.ecoser.2017.11.017</t>
  </si>
  <si>
    <t>outdoor recreation activities like hiking, mountain biking, climbing, or skiing</t>
  </si>
  <si>
    <t>Quantifying the visual-sensory landscape qualities that contribute to cultural ecosystem services using social media and LiDAR</t>
  </si>
  <si>
    <t>10.1016/j.ecoser.2018.03.022</t>
  </si>
  <si>
    <t>Historical monuments and coastal attractions</t>
  </si>
  <si>
    <t xml:space="preserve">Historical monuments and coastal attractions </t>
  </si>
  <si>
    <t>Outdoor activities</t>
  </si>
  <si>
    <t>Outdoor recreational and leisure activities</t>
  </si>
  <si>
    <t>Plants or animals</t>
  </si>
  <si>
    <t>Contained plants and animals</t>
  </si>
  <si>
    <t>Sunset/sunrise and weather phenomena</t>
  </si>
  <si>
    <t>Included sunsets/sunrises and weather phenomena</t>
  </si>
  <si>
    <t>Defining and spatially modelling cultural ecosystem services using crowdsourced data</t>
  </si>
  <si>
    <t>10.1016/j.ecoser.2020.101091</t>
  </si>
  <si>
    <t>Activity services _x0096_ hiking environment</t>
  </si>
  <si>
    <t>This contribution is generated as an information flow to the individual as the brain and sensory organs interpret the immediate, physical configuration of the ecosystem while performing the physical activity. For example, the terrain on which a person is cycling or running constitutes the ecosystem contribution to the outdoor cycling or running activity; the cultural benefit. Activity services are thus not related to the aesthetics of an ecosystem, which are generated separately as aesthetic services.</t>
  </si>
  <si>
    <t>Aesthetic services _x0096_ landscape presence</t>
  </si>
  <si>
    <t>Aesthetic services are generated when ecosystems communicate a sensory configuration of beauty (MA, 2005). This flow of information is registered and shared on social media sites such as Flickr, Instagram and Twitter. The information contributes to the cultural benefit of a scenic view for the individual, the benefit only manifesting itself through human cognitive action and choice.</t>
  </si>
  <si>
    <t>Naturalist services _x0096_ species observations</t>
  </si>
  <si>
    <t>People hold strong bonds with nature and gain a sense of place and fulfilment knowing an ecosystem is functioning and in good health (TEEB, 2010b, Díaz et al., 2018). These interactions constitute an information flow in the sense that the ecosystem conveys a notion of ecological meaning. Hence, naturalist services are related to the human enjoyment of ecosystems rather than the development of knowledge. This contributes to the benefit of a species record, evidence of a functioning ecosystem and thus a sense of fulfilment for the individual, in combination with the effort expended in identifying and storing the record.</t>
  </si>
  <si>
    <t>Crowdsourcing social values data: Flickr and public participation GIS provide different perspectives of ecosystem services in a remote coastal region</t>
  </si>
  <si>
    <t>10.1016/j.ecoser.2023.101566</t>
  </si>
  <si>
    <t>Aboriginal</t>
  </si>
  <si>
    <t>Reflect Aboriginal history or connection with coastal and sea country. Examples: Rock art, paintings, artwork</t>
  </si>
  <si>
    <t>Biological*</t>
  </si>
  <si>
    <t>Nature appreciation, living organisms. Examples: Animals, plants, habitats such as reefs and mangroves</t>
  </si>
  <si>
    <t>Economic</t>
  </si>
  <si>
    <t>Not cultural</t>
  </si>
  <si>
    <t>Natural resources which can be used by people and transportation of these resources. Examples: Oil/gas, mining, minerals, pastoralism, commercial vessels, trucks, trains</t>
  </si>
  <si>
    <t>Heritage</t>
  </si>
  <si>
    <t>Reflect European history. Example: World War Two artefacts, exploration, pastoralism</t>
  </si>
  <si>
    <t>Learning</t>
  </si>
  <si>
    <t>Enable learning through observation or study. Examples: Clipboards, art centres, museums, photos of natural history specimens</t>
  </si>
  <si>
    <t>Nature-based tourism</t>
  </si>
  <si>
    <t>Tourism opportunities in the natural environment. Example: Tourism infrastructure, accommodation, cruises, cave systems, gorges, rivers, waterfalls, wildlife observation, statues or sculptures, information signs</t>
  </si>
  <si>
    <t>Outdoor recreation activities. Examples: Off-road vehicles, bicycles, camping gear, sunbathing/swimming, hiking, riding, diving, snorkelling, surfing, social activities such as bonfires and picnics</t>
  </si>
  <si>
    <t>Recreational fishing</t>
  </si>
  <si>
    <t>Recreation (e.g. hunting, fishing)</t>
  </si>
  <si>
    <t>Fishing for fish or other marine life. Examples: Fishing rods, crab pots</t>
  </si>
  <si>
    <t>Scenic</t>
  </si>
  <si>
    <t>Landscapes or attractive scenery. Examples: Gorges, waterfalls, caves, islands, beaches, sunrise/sunset, aerial view over the landscape, moon or stars, natural processes such as fire or lightning</t>
  </si>
  <si>
    <t>Sacred, religious or spiritually special places (excluding Aboriginal culture). Examples: Churches, graveyards</t>
  </si>
  <si>
    <t>Demand and supply of cultural ecosystem services: Use of geotagged photos to map the aesthetic value of landscapes in Hokkaido</t>
  </si>
  <si>
    <t>10.1016/j.ecoser.2017.02.009</t>
  </si>
  <si>
    <t xml:space="preserve">Aesthetic value </t>
  </si>
  <si>
    <t>The aesthetic value of landscapes is the pleasure derived from natural beauty (TEEB, 2010). Aesthetic value is an especially important factor in recreation (Daniel et al., 2012), and is strongly related to market price. For example, residential price is affected by the amount of ocean or lake views</t>
  </si>
  <si>
    <t>Understanding different cultural ecosystem services: An exploration of rural landscape preferences based on geographic and social media data</t>
  </si>
  <si>
    <t>10.1016/j.jenvman.2022.115487</t>
  </si>
  <si>
    <t>Rural landscapes* Physical</t>
  </si>
  <si>
    <t xml:space="preserve">Rural landscapes provide people with a wide range of cultural ecosystem services (CESs), such as recreation, science and education, cultural heritage and aesthetic function. The aim of this study is to assess the dominant rural landscape characteristics of different CESs from physical, experiential, intellectual and inspirational aspects. </t>
  </si>
  <si>
    <t>Rural landscapes* Experiential</t>
  </si>
  <si>
    <t>Rural landscapes* Intellectual</t>
  </si>
  <si>
    <t>Rural landscapes* Inspirational aspects</t>
  </si>
  <si>
    <t>Assessing grassland cultural ecosystem services supply and demand for promoting the sustainable realization of grassland cultural values</t>
  </si>
  <si>
    <t>10.1016/j.scitotenv.2023.169255</t>
  </si>
  <si>
    <t>Grassland recuperation</t>
  </si>
  <si>
    <t>Grassland recuperation value  provides leisure, connecting visitors with nature, relieving stress, enhancing health, and offering cultural enrichment. It deepens appreciation for nomadic culture and provides a holistic wellness experience for those seeking respite from the fast-paced world.</t>
  </si>
  <si>
    <t>Scenic travel</t>
  </si>
  <si>
    <t>Encompasses tourism experiences and recreational enjoyment derived from a region's natural ecology and cultural elements through tourism industry development</t>
  </si>
  <si>
    <t>Science education history*</t>
  </si>
  <si>
    <t xml:space="preserve">Science-education-history value  integrates local customs, folklore, and folk culture into literary and artistic works while supplying creative material for popularizing traditional nomadic culture and supporting nomadic cultural experiences, typified by the Yuan Shangdu Site. </t>
  </si>
  <si>
    <t>Spiritual belief</t>
  </si>
  <si>
    <t xml:space="preserve">Spiritual belief value fulfills spiritual needs via religious practices, fostering personal growth, exemplified by Wusutu Temple and Zhaohua Temple. </t>
  </si>
  <si>
    <t>A New Approach to Mapping Cultural Ecosystem Services</t>
  </si>
  <si>
    <t>10.3390/environments8060056</t>
  </si>
  <si>
    <t>Tourism attraction</t>
  </si>
  <si>
    <t>The density of the nature photographs of a particular spot can be considered a sign of public interest in the area related to the cultural and recreational ecosystem heritage. Can offer a wide choice of recreational opportunities in beautiful landscapes and beautiful beaches that attract residents and visitor</t>
  </si>
  <si>
    <t>Snapshots of Nature-Based Recreation Across Rural Landscapes: Insights from Geotagged Photographs in the Northeastern United States</t>
  </si>
  <si>
    <t>10.1007/s00267-022-01728-2</t>
  </si>
  <si>
    <t>Nature-based recreation*</t>
  </si>
  <si>
    <t>Some examples: Most images (59.6%) were thematically categorized in a large cluster that primarily consisted of natural landscape content (i.e., “scenery”). Other key themes include people (10.7%), biota (7.7%), structures (7.5%), and transport (7.3%). Less common image themes included aquatic recreation (2.5%), food and dining (1.8%), sports (1.1%), dogs (1.1%), arts (0.5%), and equestrian activities (0.2%)</t>
  </si>
  <si>
    <t>Assessment of spatial variability of multiple ecosystem services in grasslands of different intensities</t>
  </si>
  <si>
    <t>10.1016/j.jenvman.2019.109372</t>
  </si>
  <si>
    <t>Photos taken in grassland area</t>
  </si>
  <si>
    <t>POIs-based public preferences mapping on imbalanced supply-demand of recreation services can support sustainable coastal beach management</t>
  </si>
  <si>
    <t>10.3389/fmars.2024.1288112</t>
  </si>
  <si>
    <t>beach recreation services*</t>
  </si>
  <si>
    <t xml:space="preserve">Coastal beaches, which cover more than one-third of the global coastline (Steven et al., 2020), provide health-related benefits such as recreation and leisure, as well as an abundance of amenities and aesthetic beauty (van den Bosch and Ode Sang, 2017; Huynh et al., 2022). Beach recreation not only directly enhances physical and mental health and improves the quality of life (Bratman et al., 2019; Subiza-Pérez et al., 2020) but also represents a significant pillar of the economy in many coastal states (Defeo et al., 2021). </t>
  </si>
  <si>
    <t>Mapping and modeling the impact of climate change on recreational ecosystem services using machine learning and big data</t>
  </si>
  <si>
    <t>10.1088/1748-9326/ac65a3</t>
  </si>
  <si>
    <t>recreational ecosystem service</t>
  </si>
  <si>
    <t>Recreational activaties include boating/fishing, RVing, biking, climbing, hiking, and hunting.</t>
  </si>
  <si>
    <t>Exploring the Influencing Factors of the Recreational Utilization and Evaluation of Urban Ecological Protection Green Belts for Urban Renewal: A Case Study in Shanghai</t>
  </si>
  <si>
    <t>10.3390/ijerph181910244</t>
  </si>
  <si>
    <t>recreation</t>
  </si>
  <si>
    <t>Recreational utilization, which is an essential function of urban green space, relies on natural and human resources as well as other attractions as carriers to provide residents with the function of achieving physical and mental rest within a certain travel time or distance</t>
  </si>
  <si>
    <t>Earth observation and social media: Evaluating the spatiotemporal contribution of non-native trees to cultural ecosystem services</t>
  </si>
  <si>
    <t>10.1016/j.rse.2019.05.012</t>
  </si>
  <si>
    <t>Landscape aesthetics</t>
  </si>
  <si>
    <t>Pictures showing wide views of an area, with visible horizon</t>
  </si>
  <si>
    <t>Nature recreation</t>
  </si>
  <si>
    <t>Trees or parts of trees (e.g. flowers or leaves) as main subject</t>
  </si>
  <si>
    <t>An Interpretation of Landscape Preferences Based on Geographic and Social Media Data to Understand Different Cultural Ecosystem Services</t>
  </si>
  <si>
    <t>10.3390/land13020125</t>
  </si>
  <si>
    <t>experiential CES*</t>
  </si>
  <si>
    <t>Feelings provided by the aesthetic characteristic of natural and semi-natural landscapes and their biological and non-biological elements. Examples: Comments containing descriptions of the landscape and beauty (e.g., mountain and river).</t>
  </si>
  <si>
    <t>inspirational CES Spiritual and religious*</t>
  </si>
  <si>
    <t>Landscapes, ecosystems and their elements that have religious or spiritual purposes. Examples: Comments containing temples and religious attractions (e.g., churches, burning incense and worshiping buddha).</t>
  </si>
  <si>
    <t>inspirational CES Inspiration*</t>
  </si>
  <si>
    <t>Landscapes, ecosystems and their elements used in art architecture, advertising, local symbols, and folklore. Examples: Comments containing attractions with art publicity and local symbols (e.g., art gallery and music)</t>
  </si>
  <si>
    <t>intellectual CES Scientific and educational*</t>
  </si>
  <si>
    <t>intellectual CES Cultural heritage and identity*</t>
  </si>
  <si>
    <t>Value of the landscape, species or location to the local heritage and cultural heritage. Examples: Comments containing cultural heritage or intangible cultural heritage (e.g., traditional buildings, local culture, cultural landscape and traditional practices).</t>
  </si>
  <si>
    <t>physical CES</t>
  </si>
  <si>
    <t>Resources provided for recreational activities in the ecosystem (its biological and non-biological elements). Examples: Comments containing attractions for recreational activities (e.g., mountain climbing skiing and rafting).</t>
  </si>
  <si>
    <t>Can We Foresee Landscape Interest? Maximum Entropy Applied to Social Media Photographs: A Case Study in Madrid</t>
  </si>
  <si>
    <t>10.3390/land11050715</t>
  </si>
  <si>
    <t>Cultural activities</t>
  </si>
  <si>
    <t>Presence of museums, monuments, food or typical products.</t>
  </si>
  <si>
    <t>Recreational activities</t>
  </si>
  <si>
    <t>Presence of people engaged in sports or walking activities</t>
  </si>
  <si>
    <t>The Geographic Spread and Preferences of Tourists Revealed by User-Generated Information on Jeju Island, South Korea</t>
  </si>
  <si>
    <t>10.3390/land8050073</t>
  </si>
  <si>
    <t>recreation and tourism</t>
  </si>
  <si>
    <t xml:space="preserve">INVEST definition: Recreation and tourism are important components of many national and local economies and they contribute in innumerable ways to quality of life, sense of place, social connection, physical wellbeing, learning, and other intangibles. </t>
  </si>
  <si>
    <t>Recreation and environmental quality of tropical wetlands: A social media based spatial analysis</t>
  </si>
  <si>
    <t>10.1016/j.tourman.2018.10.018</t>
  </si>
  <si>
    <t>Photographs taken at wetland sites were extracted if located within a 60 m buffer measured outwards from the wetland boundaries in order to account for photographs taken on the shores or banks of wetlands.</t>
  </si>
  <si>
    <t>Modelling cultural ecosystem services in agricultural dykelands and tidal wetlands to inform coastal infrastructure decisions: A social media data approach</t>
  </si>
  <si>
    <t>10.1016/j.marpol.2023.105533</t>
  </si>
  <si>
    <t>Many people appreciate the beauty or aesthetic value of various aspects of ecosystems, as evidenced by support for parks, scenic drives, and housing location selection.</t>
  </si>
  <si>
    <t>Cultural heritage/diversity</t>
  </si>
  <si>
    <t>Many societies value the preservation of historically significant landscapes ("cultural landscapes") or culturally significant species.</t>
  </si>
  <si>
    <t>Education and knowledge systems</t>
  </si>
  <si>
    <t>In many societies, ecosystems and their components and processes serve as the foundation for both formal and informal education, and they influence the types of knowledge systems developed by different cultures.</t>
  </si>
  <si>
    <t>Inspiration and art*</t>
  </si>
  <si>
    <t>Ecosystems are a rich source of inspiration for art (photographs, art structures, etc.), folklore, national symbols, architecture, and advertising.</t>
  </si>
  <si>
    <t>Recreation and tourism</t>
  </si>
  <si>
    <t>People frequently base their leisure activities on the characteristics of natural or cultivated landscapes in a given area.</t>
  </si>
  <si>
    <t>Sense of place and terroir</t>
  </si>
  <si>
    <t>Sense of belonging</t>
  </si>
  <si>
    <t>Many people value the "sense of place" associated with recognised features of their environment, including aspects of the ecosystem; these features represent a strong identity for people, such as their home or memories associated with a place. Place, including specific soil, topography, climate, landscape characteristics and biodiversity features, and human factors contribute to terroir.</t>
  </si>
  <si>
    <t>Social relations and relational values</t>
  </si>
  <si>
    <t>Ecosystems have an impact on the types of social relationships that emerge in different cultures. Fishing societies, for example, differ in many ways from nomadic herding or agricultural societies in terms of social relations.</t>
  </si>
  <si>
    <t>Many religions attribute spiritual and religious significance to ecosystems or their components.</t>
  </si>
  <si>
    <t>Big data and evaluation of cultural ecosystem services: an analysis based on geotagged photographs from social media in Tuscan forest (Italy)</t>
  </si>
  <si>
    <t>10.3832/ifor2821-011</t>
  </si>
  <si>
    <t>Aesthetic appreciation of forest</t>
  </si>
  <si>
    <t xml:space="preserve">The  pictures  con-taining  tags  relevant  to  forest  depiction(e.g.,   wood,   forest,   tree  and   other  syn-onyms and related words) </t>
  </si>
  <si>
    <t>Understanding the dynamic changes in wetland cultural ecosystem services: Integrating annual social media data into the SolVES</t>
  </si>
  <si>
    <t>10.1016/j.apgeog.2023.102992</t>
  </si>
  <si>
    <t>aesthetic value*</t>
  </si>
  <si>
    <t>I cherish this aspect because I love to see the landscape, hear the sounds of nature, and smell the fragrance of nature. Examples:  Seasonal and colour phases of plant landscapes, Richness of the water body landscape, Beautiful facilities and architecture</t>
  </si>
  <si>
    <t>historic value</t>
  </si>
  <si>
    <t>I cherish this aspect because it is a historic heritage of both nature and people that is important to me, to other people, and to my nation. Examples:  Historic sites, Local traditional cultural resources</t>
  </si>
  <si>
    <t>recreational value*</t>
  </si>
  <si>
    <t>I cherish this aspect because it offers a variety of places and opportunities for outdoor recreation. Examples: Recreational activities in the environment (e.g. walking, crabbing, boating, fishing, playing), Artistic creation in the environment (e.g. painting, dancing, playing instruments, singing)</t>
  </si>
  <si>
    <t>Digital footprints: Incorporating crowdsourced geographic information for protected area management</t>
  </si>
  <si>
    <t>10.1016/j.apgeog.2017.11.004</t>
  </si>
  <si>
    <t>Human visitation and distribution</t>
  </si>
  <si>
    <t>NOT clear</t>
  </si>
  <si>
    <t>does not provide definition</t>
  </si>
  <si>
    <t>Geodiversity Supports Cultural Ecosystem Services: an Assessment Using Social Media</t>
  </si>
  <si>
    <t>10.1007/s12371-022-00665-0</t>
  </si>
  <si>
    <t>Our image search was limited to any georeferenced images falling within Wales, and containing a given keyword in the images title, tags or description. To ensure that all images of hiking were captured our keyword search included synonyms of hiking: “hike”, “hiking”, “walk”, “walking”, “trek”, “trekking”, “ramble”, “rambling”.</t>
  </si>
  <si>
    <t>MaxEnt modelling of the potential distribution areas of cultural ecosystem services using social media data and GIS</t>
  </si>
  <si>
    <t>10.1007/s10668-020-00692-3</t>
  </si>
  <si>
    <t>Many people find beauty or aesthetic value in various aspects of ecosystems, as reflected in the support for parks, scenic drives and the selection of housing locations. Examples: Photos showing natural and cultural landscapes</t>
  </si>
  <si>
    <t>Many societies place high value on the maintenance of either historically important landscapes (“cultural landscapes”) or culturally significant species. Examples: Photos showing tangible and intangible values like landscapes, ancient or traditional buildings and objects</t>
  </si>
  <si>
    <t>People often choose where to spend their leisure time based in part on the characteristics of the natural or cultivated landscapes in a particular area. Examples: Photos showing people or without people but related to the recreational activities and recreational equipment</t>
  </si>
  <si>
    <t>Spiritual and religious values</t>
  </si>
  <si>
    <t>Many religions attach spiritual and religious values to ecosystems or their components. Examples: Photos showing mosques or a praying area</t>
  </si>
  <si>
    <t>Advancing Sustainable Development and Protected Area Management with Social Media-Based Tourism Data</t>
  </si>
  <si>
    <t>10.3390/su13052427</t>
  </si>
  <si>
    <t>INVEST definition: Recreation and tourism are important components of many national and local economies and they contribute in innumerable ways to quality of life, sense of place, social connection, physical wellbeing, learning, and other intangibles.</t>
  </si>
  <si>
    <t>Landscape management and planning as a spatial organization method connecting CES supply-demand assessment and sustainable tourism development</t>
  </si>
  <si>
    <t>10.1016/j.jort.2023.100705</t>
  </si>
  <si>
    <t>The aesthetic enjoyment that people experienced (from different aspects of the ecosystem, such as scenery, sights, sounds, etc.). Examples: The photos showing natural and culture landscapes of the ecosystem</t>
  </si>
  <si>
    <t>Historical and cultural</t>
  </si>
  <si>
    <t>Significant historical landscapes (natural and culture) maintained by the ecosystem or historical remains with significant cultural value. Examples: The photos showing tangible (buildings, cultural landscapes, species associated with local culture) or intangible cultural heritage (traditional customs, folklore)</t>
  </si>
  <si>
    <t xml:space="preserve">Leisure services </t>
  </si>
  <si>
    <t>Recreational services provided by ecosystems based on natural or seminatural landscapes. The photos of recreational activities (hiking, mountain-climbing)</t>
  </si>
  <si>
    <t>Spatial and Temporal Dynamics and Value of Nature-Based Recreation, Estimated via Social Media</t>
  </si>
  <si>
    <t>10.1371/journal.pone.0162372</t>
  </si>
  <si>
    <t>opportunities for nature-based recreation</t>
  </si>
  <si>
    <t>These conserved lands consist of forests interspersed throughout a semi-natural, rural landscape, and popular recreation activities for both in- and out-of-state visitors include swimming, camping, hiking, hunting and fishing, fall foliage viewing, and snow sports (including alpine and nordic skiing, snowboarding, and snowshoeing)</t>
  </si>
  <si>
    <t>Social media and deep learning capture the aesthetic quality of the landscape</t>
  </si>
  <si>
    <t>10.1038/s41598-021-99282-0</t>
  </si>
  <si>
    <t>aesthetic</t>
  </si>
  <si>
    <t xml:space="preserve">Natural scenes and attributes closely related to landscape aesthetics were also prominent such as “valley”, “mountain” and “natural”, as well as other recreation-related attributes such as “hiking”. </t>
  </si>
  <si>
    <t>Linking modelling and empirical data to assess recreation services provided by coastal habitats: The case of NW Portugal</t>
  </si>
  <si>
    <t>10.1016/j.ocecoaman.2017.12.022</t>
  </si>
  <si>
    <t>How do urban park features affect cultural ecosystem services: Quantified evidence for design practices</t>
  </si>
  <si>
    <t>10.1016/j.ufug.2022.127713</t>
  </si>
  <si>
    <t>Many people find beauty or aesthetic value in various aspects of ecosystems, as reflected in the support for parks, ‘scenic drives,’ and the selection of housing locations.</t>
  </si>
  <si>
    <t>Recreation value</t>
  </si>
  <si>
    <t>People often choose where to spend their leisure time based in part on the characteristics of the natural or cultivated landscapes in a particular area</t>
  </si>
  <si>
    <t>Social interaction value</t>
  </si>
  <si>
    <t>Ecosystems influence the types of social relations that are established in particular cultures. Fishing societies, for example, differ in many respects in their social relations from nomadic herding or agricultural societies.</t>
  </si>
  <si>
    <t>Disparity in Perceptions of Social Values for Ecosystem Services of Urban Green Space: A Case Study in the East Lake Scenic Area, Wuhan</t>
  </si>
  <si>
    <t>10.3389/fpubh.2020.00370</t>
  </si>
  <si>
    <t>I enjoy the beautiful scenery, sights, delightful sounds, etc.</t>
  </si>
  <si>
    <t>Biodiversity</t>
  </si>
  <si>
    <t>It provides a variety of fish, wildlife, plant life, etc</t>
  </si>
  <si>
    <t>Cultural</t>
  </si>
  <si>
    <t>It is a place for me to continue and pass down the wisdom and traditions, participate various cultural activities</t>
  </si>
  <si>
    <t xml:space="preserve">It provides timber, fisheries, minerals, and/or tourism opportunities such as outfitting and guiding.
</t>
  </si>
  <si>
    <t>Future</t>
  </si>
  <si>
    <t>It allows future generations to know and experience tradition, lifestyle right as them are now</t>
  </si>
  <si>
    <t>Historic</t>
  </si>
  <si>
    <t>It has architectures and stories of natural and human history that matter to me, others, or the nation</t>
  </si>
  <si>
    <t>Intrinsic</t>
  </si>
  <si>
    <t>I value it in and of itself, whether people are present or not</t>
  </si>
  <si>
    <t>We can learn about the environment through scientific observation or experimentation</t>
  </si>
  <si>
    <t>Life sustaining</t>
  </si>
  <si>
    <t>It is the habitat of creatures and helps preserve, clean, and renew air, soil, and water</t>
  </si>
  <si>
    <t>It provides a place for my favorite outdoor recreation activities.</t>
  </si>
  <si>
    <t>It is a special place to me or because I feel reverence and relaxation here</t>
  </si>
  <si>
    <t>Therapeutic</t>
  </si>
  <si>
    <t>It provides a wonderful place for exercising and makes me feel stress free, physically and/or mentally.</t>
  </si>
  <si>
    <t>Seasonal influences on preferences for urban blue-green spaces: Integrating land surface temperature into the assessment of cultural ecosystem service value</t>
  </si>
  <si>
    <t>10.1016/j.scs.2024.105237</t>
  </si>
  <si>
    <t>aesthetic and recreational values*</t>
  </si>
  <si>
    <t>City parks provide rich natural and humanistic landscapes to meet people's aesthetic needs. Example: Viewing of landscapes, flora and fauna, and other natural, attractive characteristics, Admiration of beautiful architecture</t>
  </si>
  <si>
    <t>Relaxed outdoor recreation (e.g., walking, crabbing, boating, fishing), Artistic creation in the environment (e.g., painting, taking personal portrait photographs)</t>
  </si>
  <si>
    <t>Using crowdsourced spatial data from Flickr vs. PPGIS for understanding nature's contribution to people in Southern Norway</t>
  </si>
  <si>
    <t>10.1002/pan3.10083</t>
  </si>
  <si>
    <t>Biological diversity</t>
  </si>
  <si>
    <t>Areas that are important because they provide a variety of plants, wildlife and habitat.</t>
  </si>
  <si>
    <t>Areas that are important for outdoor recreation activities (e.g. camping, walking, skiing, alpine snowmobiling, cycling, horse riding).</t>
  </si>
  <si>
    <t>Scenic value</t>
  </si>
  <si>
    <t>Areas that are important because they include beautiful nature and/or landscapes.</t>
  </si>
  <si>
    <t>Social value</t>
  </si>
  <si>
    <t>Areas that are important because they provide opportunities for social activities (e.g. associated with fireplaces, picnic tables, ski- or alpine arrangements, shelters, shared cabins, cabin complexes).</t>
  </si>
  <si>
    <t>Digital conservation in biosphere reserves: Earth observations, social media, and nature_x0092_s cultural contributions to people</t>
  </si>
  <si>
    <t>10.1111/conl.12704</t>
  </si>
  <si>
    <t>Areas that are important because of their historical value, or for passing down the stories, myths, knowledge and traditions, and/or to increase understanding of the way of life of our ancestors.</t>
  </si>
  <si>
    <t>Flora and fauna</t>
  </si>
  <si>
    <t>Fauna and/or flora are the main topic of the photograph (e.g., close-up shots of species)</t>
  </si>
  <si>
    <t>Landscape and nature</t>
  </si>
  <si>
    <t>The photograph is focused on wide views of nature (e.g., land/seascape with visible horizons)</t>
  </si>
  <si>
    <t>Recreation and sports</t>
  </si>
  <si>
    <t>Human activities related to sports and recreation prevail in the photograph (e.g., beach or ski activities)</t>
  </si>
  <si>
    <t>Rural tourism</t>
  </si>
  <si>
    <t>Elements associated to rural tourism are the main topic (e.g., lodges and rural infrastructures)</t>
  </si>
  <si>
    <t>A rapid indicator of cultural ecosystem service usage at a fine spatial scale: Content analysis of social media photographs</t>
  </si>
  <si>
    <t>10.1016/j.ecolind.2015.01.034</t>
  </si>
  <si>
    <t>Nature appreciation</t>
  </si>
  <si>
    <t>photographs that primarily depicted animals or plants</t>
  </si>
  <si>
    <t>Landscape</t>
  </si>
  <si>
    <t>photographs that depicted a wider view and did not focus on a specific feature</t>
  </si>
  <si>
    <t>Social recreation</t>
  </si>
  <si>
    <t>photographs that depicted people in informal situations with sports or no equipment. Photographs that depicted recreation equipment (e.g. bicycles) but no people were also included in this category</t>
  </si>
  <si>
    <t>Fishing recreation</t>
  </si>
  <si>
    <t>photographs that depicted people engaged in fishing or crabbing</t>
  </si>
  <si>
    <t>History</t>
  </si>
  <si>
    <t>photographs that primarily depicted historical objects (e.g. gravestones, building remains)</t>
  </si>
  <si>
    <t>photographs that depicted people with research or educational equipment(e.g. clipboards, location markers). Photographs that showed research equipment but no people were also included in this category</t>
  </si>
  <si>
    <t>Evaluating the supply and demand of cultural ecosystem services in the Tibetan Plateau of China</t>
  </si>
  <si>
    <t>10.1007/s10980-022-01467-z</t>
  </si>
  <si>
    <t>The ecosystems provide beautiful scenery</t>
  </si>
  <si>
    <t>Historic and cultural</t>
  </si>
  <si>
    <t>The ecosystems record various historical events 
and preserve many folk customs</t>
  </si>
  <si>
    <t>Recreational and therapeutic*</t>
  </si>
  <si>
    <t>The ecosystems provide people with sites for outdoor leisure activities, supporting people’s physical and/or mental well-being</t>
  </si>
  <si>
    <t>Biodiversity and infrastructure interact to drive tourism to and within Costa Rica</t>
  </si>
  <si>
    <t>10.1073/pnas.2107662119</t>
  </si>
  <si>
    <t>Tourism</t>
  </si>
  <si>
    <t>Physical and psychological experiences</t>
  </si>
  <si>
    <t>We measured tourism via Flickr photographs.</t>
  </si>
  <si>
    <t>Geolocated social media as a rapid indicator of park visitation and equitable park access</t>
  </si>
  <si>
    <t>10.1016/j.compenvurbsys.2018.01.007</t>
  </si>
  <si>
    <t>There is no clear definition, it only talks about park visitation</t>
  </si>
  <si>
    <t>How can urban green space be planned for a ‘happy city’? Evidence from overhead- to eye-level green exposure metrics</t>
  </si>
  <si>
    <t>10.1016/j.landurbplan.2024.105131</t>
  </si>
  <si>
    <t>Expressed happiness</t>
  </si>
  <si>
    <t>ways to enhance people’s mental well-being and what constitutes a “happy city”</t>
  </si>
  <si>
    <t>Identifying the spatiotemporal dynamics of forest ecotourism values with remotely sensed images and social media data: A perspective of public preferences</t>
  </si>
  <si>
    <t>10.1016/j.jclepro.2022.130715</t>
  </si>
  <si>
    <t>Forest ecotourism</t>
  </si>
  <si>
    <t>forest ecotourism, defined as the non-material benefits provided by forest ecosystem</t>
  </si>
  <si>
    <t>Quantifying nature-based tourism in protected areas in developing countries by using social big data</t>
  </si>
  <si>
    <t>10.1016/j.tourman.2018.12.005</t>
  </si>
  <si>
    <t>There is no clear definition</t>
  </si>
  <si>
    <t>What are the factors influencing recreational visits to national forest parks in China? Experiments using crowdsourced geospatial data</t>
  </si>
  <si>
    <t>10.1016/j.ufug.2022.127570</t>
  </si>
  <si>
    <t>Using social media and citizen science to assess cultural ecosystem services along riverine landscapes</t>
  </si>
  <si>
    <t>10.1002/aqc.4233</t>
  </si>
  <si>
    <t>These are photographs in which the user highlights elements of nature and landscape in a horizontal plane</t>
  </si>
  <si>
    <t>Historical heritage</t>
  </si>
  <si>
    <t>These are photographs showing historical monuments linked to culture and religion (e.g., churches, bridges and walkways).</t>
  </si>
  <si>
    <t>In these photographs, fauna and/or flora are highlighted as the main theme (e.g., close-up of species)</t>
  </si>
  <si>
    <t>Recreation/river beaches</t>
  </si>
  <si>
    <t>These are photographs where the user highlights recreational activities that are closely linked to river beaches (e.g., sunbathing, swimming, sport fishing or water sports).</t>
  </si>
  <si>
    <t>NCP simple</t>
  </si>
  <si>
    <t>NCP</t>
  </si>
  <si>
    <t>Description (IPBES)</t>
  </si>
  <si>
    <t xml:space="preserve">Definition CES Diaz et al. </t>
  </si>
  <si>
    <t>Name</t>
  </si>
  <si>
    <t>Code</t>
  </si>
  <si>
    <t>Sense of belonging (e.g. rootedness or connection)</t>
  </si>
  <si>
    <t>Landscapes, seascapes, habitats or organisms being the basis for religious, spiritual, and social-cohesion experiences:
• Provisioning of opportunities by nature for people to develop a sense of place, belonging, rootedness or connectedness, associated with different entities of the living world (e. g. cultural, sacred and heritage landscapes, sounds, scents and sights associated with childhood experiences, iconic animals, trees or flowers) (187-198)
• Basis for narratives, rituals and celebrations provided by landscapes, seascapes, habitats, species or organisms (13, 21, 169, 188, 189, 191, 199)
• Source of satisfaction derived from knowing that a particular landscape, seascape, habitat or species exists (200, 201)</t>
  </si>
  <si>
    <t>Environmental education (e.g. places used for conservation activities)</t>
  </si>
  <si>
    <t>Learning and inspiration: Capabilities developed through education, knowledge acquisition, and inspiration by nature for art and technological design</t>
  </si>
  <si>
    <t>Provision, by landscapes, seascapes, habitats or organisms, of opportunities for the development of the capabilities that allow humans to prosper through education, acquisition of knowledge and development of skills for well-being, information, and inspiration for art and technological design (e.g. biomimicry) (165-174)</t>
  </si>
  <si>
    <t>Enjoy the fauna and flora (e.g. photography of emblematic species)</t>
  </si>
  <si>
    <t>Physical and psychological experiences: Physically and psychologically beneficial activities, healing, relaxation, recreation, and aesthetic enjoyment based on contact with nature</t>
  </si>
  <si>
    <t>Provision, by landscapes, seascapes, habitats or organisms, of opportunities for physically and psychologically beneficial activities, healing, relaxation, recreation, leisure, tourism and  aesthetic enjoyment based on the close contact with nature (e.g. hiking, recreational hunting and fishing, birdwatching, snorkeling, diving, gardening) (175-187)</t>
  </si>
  <si>
    <t>Cultural heritage (e.g. historical objects or landscape and/or intangible aspects)</t>
  </si>
  <si>
    <t>Supporting identities: The basis for religious, spiritual, and social cohesion; sense of place, purpose, belonging, or rootedness associated with the living world; narratives, myths, and rituals; satisfaction from a landscape, seascape, habitat, or species</t>
  </si>
  <si>
    <t>Provision, by landscapes, seascapes, habitats or organisms, of opportunities for physically and psychologically beneficial activities, healing, relaxation, recreation, leisure, tourism and aesthetic enjoyment based on the close contact with nature (e.g. hiking, recreational hunting and fishing, birdwatching, snorkeling, diving, gardening) (175-187)</t>
  </si>
  <si>
    <t>Recreation (e.g. bird watching, ecotourism, hiking, skiing, biking, horseback riding)</t>
  </si>
  <si>
    <t>Psychological experiences (e.g. relaxation, peace of mind)</t>
  </si>
  <si>
    <t>Research (e.g. places of special scientific interest)</t>
  </si>
  <si>
    <t>Enjoy the landscape (e.g. its beauty)</t>
  </si>
  <si>
    <t>Spiritual significance (eg spiritual and/or religious enrichment)</t>
  </si>
  <si>
    <t>Rural tourism (e.g. visits and/or walks through a town)</t>
  </si>
  <si>
    <t>Capacity of ecosystems, habitats, species or genotypes to keep options open in order to support a good quality of life.</t>
  </si>
  <si>
    <t>Capacity of ecosystems, habitats, species or genotypes to keep options open in order to support a good quality of life. Examples include:
• Benefits (including those of future generations) associated with the continued existence of a wide variety of species, populations and genotypes. This includes their contributions to the resilience and resistance of ecosystem properties in the face of environmental change and variability (6, 7, 203-206)
• Future benefits (or threats) derived from keeping options open for yet unknown discoveries and unanticipated uses of particular organisms or ecosystems that already exist (e.g. new medicines or materials) (5)
• Future benefits (or threats) that may be anticipated from on- going biological evolution (e.g. adaptation to a warmer climate, to emergent diseases, development of resistance to
antibiotics and other control agents by pathogens and weeds)</t>
  </si>
  <si>
    <t>Includes all</t>
  </si>
  <si>
    <t>15,16,17,18</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</si>
</sst>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1.0"/>
      <color theme="1"/>
      <name val="Calibri"/>
    </font>
    <font>
      <sz val="11.0"/>
      <color theme="1"/>
      <name val="Calibri"/>
    </font>
    <font>
      <b/>
      <sz val="11.0"/>
      <color rgb="FF000000"/>
      <name val="Calibri"/>
    </font>
    <font>
      <u/>
      <sz val="11.0"/>
      <color rgb="FF0000FF"/>
      <name val="Calibri"/>
    </font>
    <font>
      <u/>
      <sz val="11.0"/>
      <color rgb="FF0000FF"/>
      <name val="Calibri"/>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3" numFmtId="0" xfId="0" applyFont="1"/>
    <xf borderId="0" fillId="0" fontId="4" numFmtId="0" xfId="0" applyFont="1"/>
    <xf borderId="0" fillId="0" fontId="2" numFmtId="0" xfId="0" applyAlignment="1" applyFont="1">
      <alignment horizontal="right"/>
    </xf>
    <xf borderId="1" fillId="2" fontId="2" numFmtId="0" xfId="0" applyAlignment="1" applyBorder="1" applyFill="1" applyFont="1">
      <alignment horizontal="right"/>
    </xf>
    <xf borderId="1" fillId="2" fontId="2" numFmtId="0" xfId="0" applyBorder="1" applyFont="1"/>
    <xf borderId="1" fillId="3" fontId="2" numFmtId="0" xfId="0" applyBorder="1" applyFill="1" applyFont="1"/>
    <xf borderId="1" fillId="2" fontId="2" numFmtId="0" xfId="0" applyAlignment="1" applyBorder="1" applyFont="1">
      <alignment horizontal="right"/>
    </xf>
    <xf borderId="1" fillId="2" fontId="2" numFmtId="0" xfId="0" applyBorder="1" applyFont="1"/>
    <xf borderId="0" fillId="0" fontId="5" numFmtId="0" xfId="0" applyFont="1"/>
    <xf borderId="1" fillId="3" fontId="2" numFmtId="0" xfId="0" applyAlignment="1" applyBorder="1" applyFont="1">
      <alignment horizontal="right"/>
    </xf>
    <xf borderId="1" fillId="3" fontId="2" numFmtId="0" xfId="0" applyBorder="1" applyFont="1"/>
    <xf borderId="1" fillId="3" fontId="2" numFmtId="0" xfId="0" applyAlignment="1" applyBorder="1" applyFont="1">
      <alignment horizontal="righ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Validacion 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79:G18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Validacion 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0.57"/>
  </cols>
  <sheetData>
    <row r="1">
      <c r="A1" s="1" t="s">
        <v>0</v>
      </c>
    </row>
    <row r="2" ht="64.5" customHeight="1">
      <c r="A2" s="2" t="s">
        <v>1</v>
      </c>
    </row>
    <row r="3">
      <c r="A3" s="3" t="s">
        <v>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14.57"/>
    <col customWidth="1" min="3" max="4" width="38.29"/>
    <col customWidth="1" min="5" max="5" width="42.86"/>
    <col customWidth="1" min="6" max="6" width="25.71"/>
    <col customWidth="1" min="7" max="7" width="36.57"/>
    <col customWidth="1" min="8" max="8" width="12.71"/>
    <col customWidth="1" min="9" max="9" width="153.29"/>
    <col customWidth="1" min="10" max="10" width="18.0"/>
  </cols>
  <sheetData>
    <row r="1" ht="14.25" customHeight="1">
      <c r="A1" s="4" t="s">
        <v>3</v>
      </c>
      <c r="B1" s="4" t="s">
        <v>4</v>
      </c>
      <c r="C1" s="4" t="s">
        <v>5</v>
      </c>
      <c r="D1" s="4" t="s">
        <v>6</v>
      </c>
      <c r="E1" s="4" t="s">
        <v>7</v>
      </c>
      <c r="F1" s="4" t="s">
        <v>8</v>
      </c>
      <c r="G1" s="1" t="s">
        <v>9</v>
      </c>
      <c r="H1" s="1" t="s">
        <v>10</v>
      </c>
      <c r="I1" s="1" t="s">
        <v>11</v>
      </c>
      <c r="J1" s="1" t="s">
        <v>12</v>
      </c>
    </row>
    <row r="2" ht="14.25" customHeight="1">
      <c r="A2" s="3">
        <v>44.0</v>
      </c>
      <c r="B2" s="3" t="s">
        <v>13</v>
      </c>
      <c r="C2" s="3" t="s">
        <v>14</v>
      </c>
      <c r="D2" s="5" t="str">
        <f t="shared" ref="D2:D185" si="1">HYPERLINK("https://doi.org/" &amp; C2, C2)</f>
        <v>10.30682/nm1902g</v>
      </c>
      <c r="E2" s="3" t="s">
        <v>15</v>
      </c>
      <c r="F2" s="3" t="s">
        <v>16</v>
      </c>
      <c r="G2" s="3" t="str">
        <f>VLOOKUP(F2, Pasarela!$A$1:$F$548, 5, FALSE)</f>
        <v>Physical and psychological experiences</v>
      </c>
      <c r="H2" s="3">
        <f>VLOOKUP(G2, Pasarela!$E$2:$F$548, 2, FALSE)</f>
        <v>16</v>
      </c>
      <c r="I2" s="2" t="s">
        <v>17</v>
      </c>
      <c r="J2" s="3" t="s">
        <v>18</v>
      </c>
    </row>
    <row r="3" ht="14.25" customHeight="1">
      <c r="A3" s="3">
        <v>40.0</v>
      </c>
      <c r="B3" s="3" t="s">
        <v>19</v>
      </c>
      <c r="C3" s="3" t="s">
        <v>20</v>
      </c>
      <c r="D3" s="5" t="str">
        <f t="shared" si="1"/>
        <v>10.1002/pan3.10466</v>
      </c>
      <c r="E3" s="3" t="s">
        <v>21</v>
      </c>
      <c r="F3" s="3" t="s">
        <v>22</v>
      </c>
      <c r="G3" s="3" t="str">
        <f>VLOOKUP(F3, Pasarela!$A$1:$F$548, 5, FALSE)</f>
        <v>Physical and psychological experiences</v>
      </c>
      <c r="H3" s="3">
        <f>VLOOKUP(G3, Pasarela!$E$2:$F$548, 2, FALSE)</f>
        <v>16</v>
      </c>
      <c r="I3" s="2" t="s">
        <v>23</v>
      </c>
      <c r="J3" s="3" t="s">
        <v>18</v>
      </c>
    </row>
    <row r="4" ht="14.25" customHeight="1">
      <c r="A4" s="3">
        <v>36.0</v>
      </c>
      <c r="B4" s="3" t="s">
        <v>24</v>
      </c>
      <c r="C4" s="3" t="s">
        <v>25</v>
      </c>
      <c r="D4" s="5" t="str">
        <f t="shared" si="1"/>
        <v>10.1002/pan3.10042</v>
      </c>
      <c r="E4" s="3" t="s">
        <v>26</v>
      </c>
      <c r="F4" s="3" t="s">
        <v>27</v>
      </c>
      <c r="G4" s="3" t="str">
        <f>VLOOKUP(F4, Pasarela!$A$1:$F$548, 5, FALSE)</f>
        <v>Physical and psychological experiences</v>
      </c>
      <c r="H4" s="3">
        <f>VLOOKUP(G4, Pasarela!$E$2:$F$548, 2, FALSE)</f>
        <v>16</v>
      </c>
      <c r="I4" s="2" t="s">
        <v>28</v>
      </c>
      <c r="J4" s="3" t="s">
        <v>18</v>
      </c>
    </row>
    <row r="5" ht="14.25" customHeight="1">
      <c r="A5" s="3">
        <v>24.0</v>
      </c>
      <c r="B5" s="3" t="s">
        <v>29</v>
      </c>
      <c r="C5" s="3" t="s">
        <v>30</v>
      </c>
      <c r="D5" s="5" t="str">
        <f t="shared" si="1"/>
        <v>10.1002/pan3.10199</v>
      </c>
      <c r="E5" s="3" t="s">
        <v>31</v>
      </c>
      <c r="F5" s="3" t="s">
        <v>16</v>
      </c>
      <c r="G5" s="3" t="str">
        <f>VLOOKUP(F5, Pasarela!$A$1:$F$548, 5, FALSE)</f>
        <v>Physical and psychological experiences</v>
      </c>
      <c r="H5" s="3">
        <f>VLOOKUP(G5, Pasarela!$E$2:$F$548, 2, FALSE)</f>
        <v>16</v>
      </c>
      <c r="I5" s="2" t="s">
        <v>32</v>
      </c>
      <c r="J5" s="3" t="s">
        <v>18</v>
      </c>
    </row>
    <row r="6" ht="14.25" customHeight="1">
      <c r="A6" s="3">
        <v>24.0</v>
      </c>
      <c r="B6" s="3" t="s">
        <v>29</v>
      </c>
      <c r="C6" s="3" t="s">
        <v>30</v>
      </c>
      <c r="D6" s="5" t="str">
        <f t="shared" si="1"/>
        <v>10.1002/pan3.10199</v>
      </c>
      <c r="E6" s="3" t="s">
        <v>26</v>
      </c>
      <c r="F6" s="3" t="s">
        <v>27</v>
      </c>
      <c r="G6" s="3" t="str">
        <f>VLOOKUP(F6, Pasarela!$A$1:$F$548, 5, FALSE)</f>
        <v>Physical and psychological experiences</v>
      </c>
      <c r="H6" s="3">
        <f>VLOOKUP(G6, Pasarela!$E$2:$F$548, 2, FALSE)</f>
        <v>16</v>
      </c>
      <c r="I6" s="2" t="s">
        <v>32</v>
      </c>
      <c r="J6" s="3" t="s">
        <v>18</v>
      </c>
    </row>
    <row r="7" ht="14.25" customHeight="1">
      <c r="A7" s="3">
        <v>24.0</v>
      </c>
      <c r="B7" s="3" t="s">
        <v>29</v>
      </c>
      <c r="C7" s="3" t="s">
        <v>30</v>
      </c>
      <c r="D7" s="5" t="str">
        <f t="shared" si="1"/>
        <v>10.1002/pan3.10199</v>
      </c>
      <c r="E7" s="3" t="s">
        <v>33</v>
      </c>
      <c r="F7" s="3" t="s">
        <v>22</v>
      </c>
      <c r="G7" s="3" t="str">
        <f>VLOOKUP(F7, Pasarela!$A$1:$F$548, 5, FALSE)</f>
        <v>Physical and psychological experiences</v>
      </c>
      <c r="H7" s="3">
        <f>VLOOKUP(G7, Pasarela!$E$2:$F$548, 2, FALSE)</f>
        <v>16</v>
      </c>
      <c r="I7" s="2" t="s">
        <v>32</v>
      </c>
      <c r="J7" s="3" t="s">
        <v>18</v>
      </c>
    </row>
    <row r="8" ht="14.25" customHeight="1">
      <c r="A8" s="3">
        <v>24.0</v>
      </c>
      <c r="B8" s="3" t="s">
        <v>29</v>
      </c>
      <c r="C8" s="3" t="s">
        <v>30</v>
      </c>
      <c r="D8" s="5" t="str">
        <f t="shared" si="1"/>
        <v>10.1002/pan3.10199</v>
      </c>
      <c r="E8" s="3" t="s">
        <v>34</v>
      </c>
      <c r="F8" s="3" t="s">
        <v>34</v>
      </c>
      <c r="G8" s="3" t="str">
        <f>VLOOKUP(F8, Pasarela!$A$1:$F$548, 5, FALSE)</f>
        <v>Supporting identities</v>
      </c>
      <c r="H8" s="3">
        <f>VLOOKUP(G8, Pasarela!$E$2:$F$548, 2, FALSE)</f>
        <v>17</v>
      </c>
      <c r="I8" s="2" t="s">
        <v>32</v>
      </c>
      <c r="J8" s="3" t="s">
        <v>18</v>
      </c>
    </row>
    <row r="9" ht="14.25" customHeight="1">
      <c r="A9" s="3">
        <v>33.0</v>
      </c>
      <c r="B9" s="3" t="s">
        <v>35</v>
      </c>
      <c r="C9" s="3" t="s">
        <v>36</v>
      </c>
      <c r="D9" s="5" t="str">
        <f t="shared" si="1"/>
        <v>10.1111/1365-2664.13274</v>
      </c>
      <c r="E9" s="3" t="s">
        <v>27</v>
      </c>
      <c r="F9" s="3" t="s">
        <v>27</v>
      </c>
      <c r="G9" s="3" t="str">
        <f>VLOOKUP(F9, Pasarela!$A$1:$F$548, 5, FALSE)</f>
        <v>Physical and psychological experiences</v>
      </c>
      <c r="H9" s="3">
        <f>VLOOKUP(G9, Pasarela!$E$2:$F$548, 2, FALSE)</f>
        <v>16</v>
      </c>
      <c r="I9" s="2" t="s">
        <v>37</v>
      </c>
      <c r="J9" s="3" t="s">
        <v>18</v>
      </c>
    </row>
    <row r="10" ht="14.25" customHeight="1">
      <c r="A10" s="3">
        <v>10.0</v>
      </c>
      <c r="B10" s="3" t="s">
        <v>38</v>
      </c>
      <c r="C10" s="3" t="s">
        <v>39</v>
      </c>
      <c r="D10" s="5" t="str">
        <f t="shared" si="1"/>
        <v>10.1080/26395916.2023.2274594</v>
      </c>
      <c r="E10" s="3" t="s">
        <v>40</v>
      </c>
      <c r="F10" s="3" t="s">
        <v>27</v>
      </c>
      <c r="G10" s="3" t="str">
        <f>VLOOKUP(F10, Pasarela!$A$1:$F$548, 5, FALSE)</f>
        <v>Physical and psychological experiences</v>
      </c>
      <c r="H10" s="3">
        <f>VLOOKUP(G10, Pasarela!$E$2:$F$548, 2, FALSE)</f>
        <v>16</v>
      </c>
      <c r="I10" s="2" t="s">
        <v>41</v>
      </c>
      <c r="J10" s="3" t="s">
        <v>18</v>
      </c>
    </row>
    <row r="11" ht="14.25" customHeight="1">
      <c r="A11" s="3">
        <v>49.0</v>
      </c>
      <c r="B11" s="3" t="s">
        <v>42</v>
      </c>
      <c r="C11" s="3" t="s">
        <v>43</v>
      </c>
      <c r="D11" s="5" t="str">
        <f t="shared" si="1"/>
        <v>10.1016/j.ecolind.2023.110606</v>
      </c>
      <c r="E11" s="3" t="s">
        <v>27</v>
      </c>
      <c r="F11" s="3" t="s">
        <v>27</v>
      </c>
      <c r="G11" s="3" t="str">
        <f>VLOOKUP(F11, Pasarela!$A$1:$F$548, 5, FALSE)</f>
        <v>Physical and psychological experiences</v>
      </c>
      <c r="H11" s="3">
        <f>VLOOKUP(G11, Pasarela!$E$2:$F$548, 2, FALSE)</f>
        <v>16</v>
      </c>
      <c r="I11" s="2" t="s">
        <v>44</v>
      </c>
      <c r="J11" s="3" t="s">
        <v>18</v>
      </c>
    </row>
    <row r="12" ht="14.25" customHeight="1">
      <c r="A12" s="3">
        <v>15.0</v>
      </c>
      <c r="B12" s="3" t="s">
        <v>45</v>
      </c>
      <c r="C12" s="3" t="s">
        <v>46</v>
      </c>
      <c r="D12" s="5" t="str">
        <f t="shared" si="1"/>
        <v>10.1016/j.ecolind.2019.105580</v>
      </c>
      <c r="E12" s="3" t="s">
        <v>47</v>
      </c>
      <c r="F12" s="3" t="s">
        <v>16</v>
      </c>
      <c r="G12" s="3" t="str">
        <f>VLOOKUP(F12, Pasarela!$A$1:$F$548, 5, FALSE)</f>
        <v>Physical and psychological experiences</v>
      </c>
      <c r="H12" s="3">
        <f>VLOOKUP(G12, Pasarela!$E$2:$F$548, 2, FALSE)</f>
        <v>16</v>
      </c>
      <c r="I12" s="2" t="s">
        <v>48</v>
      </c>
      <c r="J12" s="3" t="s">
        <v>18</v>
      </c>
    </row>
    <row r="13" ht="14.25" customHeight="1">
      <c r="A13" s="3">
        <v>15.0</v>
      </c>
      <c r="B13" s="3" t="s">
        <v>45</v>
      </c>
      <c r="C13" s="3" t="s">
        <v>46</v>
      </c>
      <c r="D13" s="5" t="str">
        <f t="shared" si="1"/>
        <v>10.1016/j.ecolind.2019.105580</v>
      </c>
      <c r="E13" s="3" t="s">
        <v>49</v>
      </c>
      <c r="F13" s="3" t="s">
        <v>34</v>
      </c>
      <c r="G13" s="3" t="str">
        <f>VLOOKUP(F13, Pasarela!$A$1:$F$548, 5, FALSE)</f>
        <v>Supporting identities</v>
      </c>
      <c r="H13" s="3">
        <f>VLOOKUP(G13, Pasarela!$E$2:$F$548, 2, FALSE)</f>
        <v>17</v>
      </c>
      <c r="I13" s="2" t="s">
        <v>50</v>
      </c>
      <c r="J13" s="3" t="s">
        <v>18</v>
      </c>
    </row>
    <row r="14" ht="14.25" customHeight="1">
      <c r="A14" s="3">
        <v>15.0</v>
      </c>
      <c r="B14" s="3" t="s">
        <v>45</v>
      </c>
      <c r="C14" s="3" t="s">
        <v>46</v>
      </c>
      <c r="D14" s="5" t="str">
        <f t="shared" si="1"/>
        <v>10.1016/j.ecolind.2019.105580</v>
      </c>
      <c r="E14" s="3" t="s">
        <v>34</v>
      </c>
      <c r="F14" s="3" t="s">
        <v>34</v>
      </c>
      <c r="G14" s="3" t="str">
        <f>VLOOKUP(F14, Pasarela!$A$1:$F$548, 5, FALSE)</f>
        <v>Supporting identities</v>
      </c>
      <c r="H14" s="3">
        <f>VLOOKUP(G14, Pasarela!$E$2:$F$548, 2, FALSE)</f>
        <v>17</v>
      </c>
      <c r="I14" s="2" t="s">
        <v>51</v>
      </c>
      <c r="J14" s="3" t="s">
        <v>18</v>
      </c>
    </row>
    <row r="15" ht="14.25" customHeight="1">
      <c r="A15" s="3">
        <v>15.0</v>
      </c>
      <c r="B15" s="3" t="s">
        <v>45</v>
      </c>
      <c r="C15" s="3" t="s">
        <v>46</v>
      </c>
      <c r="D15" s="5" t="str">
        <f t="shared" si="1"/>
        <v>10.1016/j.ecolind.2019.105580</v>
      </c>
      <c r="E15" s="3" t="s">
        <v>52</v>
      </c>
      <c r="F15" s="3" t="s">
        <v>53</v>
      </c>
      <c r="G15" s="3" t="str">
        <f>VLOOKUP(F15, Pasarela!$A$1:$F$548, 5, FALSE)</f>
        <v>Learning and inspiration</v>
      </c>
      <c r="H15" s="3">
        <f>VLOOKUP(G15, Pasarela!$E$2:$F$548, 2, FALSE)</f>
        <v>15</v>
      </c>
      <c r="I15" s="2" t="s">
        <v>54</v>
      </c>
      <c r="J15" s="3" t="s">
        <v>18</v>
      </c>
    </row>
    <row r="16" ht="14.25" customHeight="1">
      <c r="A16" s="3">
        <v>15.0</v>
      </c>
      <c r="B16" s="3" t="s">
        <v>45</v>
      </c>
      <c r="C16" s="3" t="s">
        <v>46</v>
      </c>
      <c r="D16" s="5" t="str">
        <f t="shared" si="1"/>
        <v>10.1016/j.ecolind.2019.105580</v>
      </c>
      <c r="E16" s="3" t="s">
        <v>55</v>
      </c>
      <c r="F16" s="3" t="s">
        <v>56</v>
      </c>
      <c r="G16" s="3" t="str">
        <f>VLOOKUP(F16, Pasarela!$A$1:$F$548, 5, FALSE)</f>
        <v>Maintenance of options</v>
      </c>
      <c r="H16" s="3">
        <f>VLOOKUP(G16, Pasarela!$E$2:$F$548, 2, FALSE)</f>
        <v>18</v>
      </c>
      <c r="I16" s="2" t="s">
        <v>57</v>
      </c>
      <c r="J16" s="3" t="s">
        <v>18</v>
      </c>
    </row>
    <row r="17" ht="14.25" customHeight="1">
      <c r="A17" s="3">
        <v>15.0</v>
      </c>
      <c r="B17" s="3" t="s">
        <v>45</v>
      </c>
      <c r="C17" s="3" t="s">
        <v>46</v>
      </c>
      <c r="D17" s="5" t="str">
        <f t="shared" si="1"/>
        <v>10.1016/j.ecolind.2019.105580</v>
      </c>
      <c r="E17" s="3" t="s">
        <v>58</v>
      </c>
      <c r="F17" s="3" t="s">
        <v>59</v>
      </c>
      <c r="G17" s="3" t="str">
        <f>VLOOKUP(F17, Pasarela!$A$1:$F$548, 5, FALSE)</f>
        <v>Physical and psychological experiences</v>
      </c>
      <c r="H17" s="3">
        <f>VLOOKUP(G17, Pasarela!$E$2:$F$548, 2, FALSE)</f>
        <v>16</v>
      </c>
      <c r="I17" s="2" t="s">
        <v>60</v>
      </c>
      <c r="J17" s="3" t="s">
        <v>61</v>
      </c>
    </row>
    <row r="18" ht="14.25" customHeight="1">
      <c r="A18" s="3">
        <v>15.0</v>
      </c>
      <c r="B18" s="3" t="s">
        <v>45</v>
      </c>
      <c r="C18" s="3" t="s">
        <v>46</v>
      </c>
      <c r="D18" s="5" t="str">
        <f t="shared" si="1"/>
        <v>10.1016/j.ecolind.2019.105580</v>
      </c>
      <c r="E18" s="3" t="s">
        <v>58</v>
      </c>
      <c r="F18" s="3" t="s">
        <v>62</v>
      </c>
      <c r="G18" s="3" t="s">
        <v>63</v>
      </c>
      <c r="H18" s="3">
        <f>VLOOKUP(G18, Pasarela!$E$2:$F$548, 2, FALSE)</f>
        <v>15</v>
      </c>
      <c r="I18" s="2" t="s">
        <v>60</v>
      </c>
      <c r="J18" s="3" t="s">
        <v>61</v>
      </c>
    </row>
    <row r="19" ht="14.25" customHeight="1">
      <c r="A19" s="3">
        <v>15.0</v>
      </c>
      <c r="B19" s="3" t="s">
        <v>45</v>
      </c>
      <c r="C19" s="3" t="s">
        <v>46</v>
      </c>
      <c r="D19" s="5" t="str">
        <f t="shared" si="1"/>
        <v>10.1016/j.ecolind.2019.105580</v>
      </c>
      <c r="E19" s="3" t="s">
        <v>64</v>
      </c>
      <c r="F19" s="3" t="s">
        <v>65</v>
      </c>
      <c r="G19" s="3" t="str">
        <f>VLOOKUP(F19, Pasarela!$A$1:$F$548, 5, FALSE)</f>
        <v>Learning and inspiration</v>
      </c>
      <c r="H19" s="3">
        <f>VLOOKUP(G19, Pasarela!$E$2:$F$548, 2, FALSE)</f>
        <v>15</v>
      </c>
      <c r="I19" s="2" t="s">
        <v>66</v>
      </c>
      <c r="J19" s="3" t="s">
        <v>18</v>
      </c>
    </row>
    <row r="20" ht="14.25" customHeight="1">
      <c r="A20" s="3">
        <v>15.0</v>
      </c>
      <c r="B20" s="3" t="s">
        <v>45</v>
      </c>
      <c r="C20" s="3" t="s">
        <v>46</v>
      </c>
      <c r="D20" s="5" t="str">
        <f t="shared" si="1"/>
        <v>10.1016/j.ecolind.2019.105580</v>
      </c>
      <c r="E20" s="3" t="s">
        <v>27</v>
      </c>
      <c r="F20" s="3" t="s">
        <v>27</v>
      </c>
      <c r="G20" s="3" t="str">
        <f>VLOOKUP(F20, Pasarela!$A$1:$F$548, 5, FALSE)</f>
        <v>Physical and psychological experiences</v>
      </c>
      <c r="H20" s="3">
        <f>VLOOKUP(G20, Pasarela!$E$2:$F$548, 2, FALSE)</f>
        <v>16</v>
      </c>
      <c r="I20" s="2" t="s">
        <v>67</v>
      </c>
      <c r="J20" s="3" t="s">
        <v>18</v>
      </c>
    </row>
    <row r="21" ht="14.25" customHeight="1">
      <c r="A21" s="3">
        <v>15.0</v>
      </c>
      <c r="B21" s="3" t="s">
        <v>45</v>
      </c>
      <c r="C21" s="3" t="s">
        <v>46</v>
      </c>
      <c r="D21" s="5" t="str">
        <f t="shared" si="1"/>
        <v>10.1016/j.ecolind.2019.105580</v>
      </c>
      <c r="E21" s="3" t="s">
        <v>68</v>
      </c>
      <c r="F21" s="3" t="s">
        <v>34</v>
      </c>
      <c r="G21" s="3" t="str">
        <f>VLOOKUP(F21, Pasarela!$A$1:$F$548, 5, FALSE)</f>
        <v>Supporting identities</v>
      </c>
      <c r="H21" s="3">
        <f>VLOOKUP(G21, Pasarela!$E$2:$F$548, 2, FALSE)</f>
        <v>17</v>
      </c>
      <c r="I21" s="2" t="s">
        <v>69</v>
      </c>
      <c r="J21" s="3" t="s">
        <v>18</v>
      </c>
    </row>
    <row r="22" ht="14.25" customHeight="1">
      <c r="A22" s="3">
        <v>15.0</v>
      </c>
      <c r="B22" s="3" t="s">
        <v>45</v>
      </c>
      <c r="C22" s="3" t="s">
        <v>46</v>
      </c>
      <c r="D22" s="5" t="str">
        <f t="shared" si="1"/>
        <v>10.1016/j.ecolind.2019.105580</v>
      </c>
      <c r="E22" s="3" t="s">
        <v>70</v>
      </c>
      <c r="F22" s="3" t="s">
        <v>70</v>
      </c>
      <c r="G22" s="3" t="s">
        <v>71</v>
      </c>
      <c r="H22" s="3">
        <f>VLOOKUP(G22, Pasarela!$E$2:$F$548, 2, FALSE)</f>
        <v>17</v>
      </c>
      <c r="I22" s="2" t="s">
        <v>72</v>
      </c>
      <c r="J22" s="3" t="s">
        <v>18</v>
      </c>
    </row>
    <row r="23" ht="14.25" customHeight="1">
      <c r="A23" s="3">
        <v>15.0</v>
      </c>
      <c r="B23" s="3" t="s">
        <v>45</v>
      </c>
      <c r="C23" s="3" t="s">
        <v>46</v>
      </c>
      <c r="D23" s="5" t="str">
        <f t="shared" si="1"/>
        <v>10.1016/j.ecolind.2019.105580</v>
      </c>
      <c r="E23" s="3" t="s">
        <v>73</v>
      </c>
      <c r="F23" s="3" t="s">
        <v>74</v>
      </c>
      <c r="G23" s="3" t="str">
        <f>VLOOKUP(F23, Pasarela!$A$1:$F$548, 5, FALSE)</f>
        <v>Supporting identities</v>
      </c>
      <c r="H23" s="3">
        <f>VLOOKUP(G23, Pasarela!$E$2:$F$548, 2, FALSE)</f>
        <v>17</v>
      </c>
      <c r="I23" s="2" t="s">
        <v>75</v>
      </c>
      <c r="J23" s="3" t="s">
        <v>18</v>
      </c>
    </row>
    <row r="24" ht="14.25" customHeight="1">
      <c r="A24" s="3">
        <v>13.0</v>
      </c>
      <c r="B24" s="3" t="s">
        <v>76</v>
      </c>
      <c r="C24" s="3" t="s">
        <v>77</v>
      </c>
      <c r="D24" s="5" t="str">
        <f t="shared" si="1"/>
        <v>10.1016/j.ecolind.2015.12.042</v>
      </c>
      <c r="E24" s="3" t="s">
        <v>78</v>
      </c>
      <c r="F24" s="3" t="s">
        <v>22</v>
      </c>
      <c r="G24" s="3" t="str">
        <f>VLOOKUP(F24, Pasarela!$A$1:$F$548, 5, FALSE)</f>
        <v>Physical and psychological experiences</v>
      </c>
      <c r="H24" s="3">
        <f>VLOOKUP(G24, Pasarela!$E$2:$F$548, 2, FALSE)</f>
        <v>16</v>
      </c>
      <c r="I24" s="2" t="s">
        <v>79</v>
      </c>
      <c r="J24" s="3" t="s">
        <v>61</v>
      </c>
    </row>
    <row r="25" ht="14.25" customHeight="1">
      <c r="A25" s="3">
        <v>13.0</v>
      </c>
      <c r="B25" s="3" t="s">
        <v>76</v>
      </c>
      <c r="C25" s="3" t="s">
        <v>77</v>
      </c>
      <c r="D25" s="5" t="str">
        <f t="shared" si="1"/>
        <v>10.1016/j.ecolind.2015.12.042</v>
      </c>
      <c r="E25" s="3" t="s">
        <v>78</v>
      </c>
      <c r="F25" s="3" t="s">
        <v>16</v>
      </c>
      <c r="G25" s="3" t="str">
        <f>VLOOKUP(F25, Pasarela!$A$1:$F$548, 5, FALSE)</f>
        <v>Physical and psychological experiences</v>
      </c>
      <c r="H25" s="3">
        <f>VLOOKUP(G25, Pasarela!$E$2:$F$548, 2, FALSE)</f>
        <v>16</v>
      </c>
      <c r="I25" s="2" t="s">
        <v>80</v>
      </c>
      <c r="J25" s="3" t="s">
        <v>61</v>
      </c>
    </row>
    <row r="26" ht="14.25" customHeight="1">
      <c r="A26" s="3">
        <v>13.0</v>
      </c>
      <c r="B26" s="3" t="s">
        <v>76</v>
      </c>
      <c r="C26" s="3" t="s">
        <v>77</v>
      </c>
      <c r="D26" s="5" t="str">
        <f t="shared" si="1"/>
        <v>10.1016/j.ecolind.2015.12.042</v>
      </c>
      <c r="E26" s="3" t="s">
        <v>78</v>
      </c>
      <c r="F26" s="3" t="s">
        <v>27</v>
      </c>
      <c r="G26" s="3" t="str">
        <f>VLOOKUP(F26, Pasarela!$A$1:$F$548, 5, FALSE)</f>
        <v>Physical and psychological experiences</v>
      </c>
      <c r="H26" s="3">
        <f>VLOOKUP(G26, Pasarela!$E$2:$F$548, 2, FALSE)</f>
        <v>16</v>
      </c>
      <c r="I26" s="2" t="s">
        <v>81</v>
      </c>
      <c r="J26" s="3" t="s">
        <v>61</v>
      </c>
    </row>
    <row r="27" ht="14.25" customHeight="1">
      <c r="A27" s="3">
        <v>13.0</v>
      </c>
      <c r="B27" s="3" t="s">
        <v>76</v>
      </c>
      <c r="C27" s="3" t="s">
        <v>77</v>
      </c>
      <c r="D27" s="5" t="str">
        <f t="shared" si="1"/>
        <v>10.1016/j.ecolind.2015.12.042</v>
      </c>
      <c r="E27" s="3" t="s">
        <v>82</v>
      </c>
      <c r="F27" s="3" t="s">
        <v>53</v>
      </c>
      <c r="G27" s="3" t="str">
        <f>VLOOKUP(F27, Pasarela!$A$1:$F$548, 5, FALSE)</f>
        <v>Learning and inspiration</v>
      </c>
      <c r="H27" s="3">
        <f>VLOOKUP(G27, Pasarela!$E$2:$F$548, 2, FALSE)</f>
        <v>15</v>
      </c>
      <c r="I27" s="2" t="s">
        <v>83</v>
      </c>
      <c r="J27" s="3" t="s">
        <v>61</v>
      </c>
    </row>
    <row r="28" ht="14.25" customHeight="1">
      <c r="A28" s="3">
        <v>13.0</v>
      </c>
      <c r="B28" s="3" t="s">
        <v>76</v>
      </c>
      <c r="C28" s="3" t="s">
        <v>77</v>
      </c>
      <c r="D28" s="5" t="str">
        <f t="shared" si="1"/>
        <v>10.1016/j.ecolind.2015.12.042</v>
      </c>
      <c r="E28" s="3" t="s">
        <v>82</v>
      </c>
      <c r="F28" s="3" t="s">
        <v>16</v>
      </c>
      <c r="G28" s="3" t="str">
        <f>VLOOKUP(F28, Pasarela!$A$1:$F$548, 5, FALSE)</f>
        <v>Physical and psychological experiences</v>
      </c>
      <c r="H28" s="3">
        <f>VLOOKUP(G28, Pasarela!$E$2:$F$548, 2, FALSE)</f>
        <v>16</v>
      </c>
      <c r="I28" s="2" t="s">
        <v>84</v>
      </c>
      <c r="J28" s="3" t="s">
        <v>61</v>
      </c>
    </row>
    <row r="29" ht="14.25" customHeight="1">
      <c r="A29" s="3">
        <v>13.0</v>
      </c>
      <c r="B29" s="3" t="s">
        <v>76</v>
      </c>
      <c r="C29" s="3" t="s">
        <v>77</v>
      </c>
      <c r="D29" s="5" t="str">
        <f t="shared" si="1"/>
        <v>10.1016/j.ecolind.2015.12.042</v>
      </c>
      <c r="E29" s="3" t="s">
        <v>82</v>
      </c>
      <c r="F29" s="3" t="s">
        <v>34</v>
      </c>
      <c r="G29" s="3" t="str">
        <f>VLOOKUP(F29, Pasarela!$A$1:$F$548, 5, FALSE)</f>
        <v>Supporting identities</v>
      </c>
      <c r="H29" s="3">
        <f>VLOOKUP(G29, Pasarela!$E$2:$F$548, 2, FALSE)</f>
        <v>17</v>
      </c>
      <c r="I29" s="2" t="s">
        <v>85</v>
      </c>
      <c r="J29" s="3" t="s">
        <v>61</v>
      </c>
    </row>
    <row r="30" ht="14.25" customHeight="1">
      <c r="A30" s="3">
        <v>12.0</v>
      </c>
      <c r="B30" s="3" t="s">
        <v>86</v>
      </c>
      <c r="C30" s="3" t="s">
        <v>87</v>
      </c>
      <c r="D30" s="5" t="str">
        <f t="shared" si="1"/>
        <v>10.1016/j.ecolind.2018.08.043</v>
      </c>
      <c r="E30" s="3" t="s">
        <v>88</v>
      </c>
      <c r="F30" s="3" t="s">
        <v>34</v>
      </c>
      <c r="G30" s="3" t="str">
        <f>VLOOKUP(F30, Pasarela!$A$1:$F$548, 5, FALSE)</f>
        <v>Supporting identities</v>
      </c>
      <c r="H30" s="3">
        <f>VLOOKUP(G30, Pasarela!$E$2:$F$548, 2, FALSE)</f>
        <v>17</v>
      </c>
      <c r="I30" s="2" t="s">
        <v>89</v>
      </c>
      <c r="J30" s="3" t="s">
        <v>18</v>
      </c>
    </row>
    <row r="31" ht="14.25" customHeight="1">
      <c r="A31" s="3">
        <v>12.0</v>
      </c>
      <c r="B31" s="3" t="s">
        <v>86</v>
      </c>
      <c r="C31" s="3" t="s">
        <v>87</v>
      </c>
      <c r="D31" s="5" t="str">
        <f t="shared" si="1"/>
        <v>10.1016/j.ecolind.2018.08.043</v>
      </c>
      <c r="E31" s="3" t="s">
        <v>90</v>
      </c>
      <c r="F31" s="3" t="s">
        <v>59</v>
      </c>
      <c r="G31" s="3" t="str">
        <f>VLOOKUP(F31, Pasarela!$A$1:$F$548, 5, FALSE)</f>
        <v>Physical and psychological experiences</v>
      </c>
      <c r="H31" s="3">
        <f>VLOOKUP(G31, Pasarela!$E$2:$F$548, 2, FALSE)</f>
        <v>16</v>
      </c>
      <c r="I31" s="2" t="s">
        <v>91</v>
      </c>
      <c r="J31" s="3" t="s">
        <v>18</v>
      </c>
    </row>
    <row r="32" ht="14.25" customHeight="1">
      <c r="A32" s="3">
        <v>12.0</v>
      </c>
      <c r="B32" s="3" t="s">
        <v>86</v>
      </c>
      <c r="C32" s="3" t="s">
        <v>87</v>
      </c>
      <c r="D32" s="5" t="str">
        <f t="shared" si="1"/>
        <v>10.1016/j.ecolind.2018.08.043</v>
      </c>
      <c r="E32" s="3" t="s">
        <v>58</v>
      </c>
      <c r="F32" s="3" t="s">
        <v>62</v>
      </c>
      <c r="G32" s="3" t="s">
        <v>63</v>
      </c>
      <c r="H32" s="3">
        <f>VLOOKUP(G32, Pasarela!$E$2:$F$548, 2, FALSE)</f>
        <v>15</v>
      </c>
      <c r="I32" s="2" t="s">
        <v>91</v>
      </c>
      <c r="J32" s="3" t="s">
        <v>61</v>
      </c>
    </row>
    <row r="33" ht="14.25" customHeight="1">
      <c r="A33" s="3">
        <v>12.0</v>
      </c>
      <c r="B33" s="3" t="s">
        <v>86</v>
      </c>
      <c r="C33" s="3" t="s">
        <v>87</v>
      </c>
      <c r="D33" s="5" t="str">
        <f t="shared" si="1"/>
        <v>10.1016/j.ecolind.2018.08.043</v>
      </c>
      <c r="E33" s="3" t="s">
        <v>27</v>
      </c>
      <c r="F33" s="3" t="s">
        <v>27</v>
      </c>
      <c r="G33" s="3" t="str">
        <f>VLOOKUP(F33, Pasarela!$A$1:$F$548, 5, FALSE)</f>
        <v>Physical and psychological experiences</v>
      </c>
      <c r="H33" s="3">
        <f>VLOOKUP(G33, Pasarela!$E$2:$F$548, 2, FALSE)</f>
        <v>16</v>
      </c>
      <c r="I33" s="2" t="s">
        <v>92</v>
      </c>
      <c r="J33" s="3" t="s">
        <v>18</v>
      </c>
    </row>
    <row r="34" ht="14.25" customHeight="1">
      <c r="A34" s="3">
        <v>12.0</v>
      </c>
      <c r="B34" s="3" t="s">
        <v>86</v>
      </c>
      <c r="C34" s="3" t="s">
        <v>87</v>
      </c>
      <c r="D34" s="5" t="str">
        <f t="shared" si="1"/>
        <v>10.1016/j.ecolind.2018.08.043</v>
      </c>
      <c r="E34" s="3" t="s">
        <v>93</v>
      </c>
      <c r="F34" s="3" t="s">
        <v>65</v>
      </c>
      <c r="G34" s="3" t="str">
        <f>VLOOKUP(F34, Pasarela!$A$1:$F$548, 5, FALSE)</f>
        <v>Learning and inspiration</v>
      </c>
      <c r="H34" s="3">
        <f>VLOOKUP(G34, Pasarela!$E$2:$F$548, 2, FALSE)</f>
        <v>15</v>
      </c>
      <c r="I34" s="2" t="s">
        <v>94</v>
      </c>
      <c r="J34" s="3" t="s">
        <v>61</v>
      </c>
    </row>
    <row r="35" ht="14.25" customHeight="1">
      <c r="A35" s="3">
        <v>12.0</v>
      </c>
      <c r="B35" s="3" t="s">
        <v>86</v>
      </c>
      <c r="C35" s="3" t="s">
        <v>87</v>
      </c>
      <c r="D35" s="5" t="str">
        <f t="shared" si="1"/>
        <v>10.1016/j.ecolind.2018.08.043</v>
      </c>
      <c r="E35" s="3" t="s">
        <v>93</v>
      </c>
      <c r="F35" s="3" t="s">
        <v>53</v>
      </c>
      <c r="G35" s="3" t="str">
        <f>VLOOKUP(F35, Pasarela!$A$1:$F$548, 5, FALSE)</f>
        <v>Learning and inspiration</v>
      </c>
      <c r="H35" s="3">
        <f>VLOOKUP(G35, Pasarela!$E$2:$F$548, 2, FALSE)</f>
        <v>15</v>
      </c>
      <c r="I35" s="2" t="s">
        <v>94</v>
      </c>
      <c r="J35" s="3" t="s">
        <v>61</v>
      </c>
    </row>
    <row r="36" ht="14.25" customHeight="1">
      <c r="A36" s="3">
        <v>12.0</v>
      </c>
      <c r="B36" s="3" t="s">
        <v>86</v>
      </c>
      <c r="C36" s="3" t="s">
        <v>87</v>
      </c>
      <c r="D36" s="5" t="str">
        <f t="shared" si="1"/>
        <v>10.1016/j.ecolind.2018.08.043</v>
      </c>
      <c r="E36" s="3" t="s">
        <v>95</v>
      </c>
      <c r="F36" s="3" t="s">
        <v>74</v>
      </c>
      <c r="G36" s="3" t="str">
        <f>VLOOKUP(F36, Pasarela!$A$1:$F$548, 5, FALSE)</f>
        <v>Supporting identities</v>
      </c>
      <c r="H36" s="3">
        <f>VLOOKUP(G36, Pasarela!$E$2:$F$548, 2, FALSE)</f>
        <v>17</v>
      </c>
      <c r="I36" s="2" t="s">
        <v>96</v>
      </c>
      <c r="J36" s="3" t="s">
        <v>18</v>
      </c>
    </row>
    <row r="37" ht="14.25" customHeight="1">
      <c r="A37" s="3">
        <v>21.0</v>
      </c>
      <c r="B37" s="3" t="s">
        <v>97</v>
      </c>
      <c r="C37" s="3" t="s">
        <v>98</v>
      </c>
      <c r="D37" s="5" t="str">
        <f t="shared" si="1"/>
        <v>10.1016/j.ecolind.2022.108756</v>
      </c>
      <c r="E37" s="3" t="s">
        <v>99</v>
      </c>
      <c r="F37" s="3" t="s">
        <v>16</v>
      </c>
      <c r="G37" s="3" t="str">
        <f>VLOOKUP(F37, Pasarela!$A$1:$F$548, 5, FALSE)</f>
        <v>Physical and psychological experiences</v>
      </c>
      <c r="H37" s="3">
        <f>VLOOKUP(G37, Pasarela!$E$2:$F$548, 2, FALSE)</f>
        <v>16</v>
      </c>
      <c r="I37" s="2" t="s">
        <v>100</v>
      </c>
      <c r="J37" s="3" t="s">
        <v>18</v>
      </c>
    </row>
    <row r="38" ht="14.25" customHeight="1">
      <c r="A38" s="3">
        <v>21.0</v>
      </c>
      <c r="B38" s="3" t="s">
        <v>97</v>
      </c>
      <c r="C38" s="3" t="s">
        <v>98</v>
      </c>
      <c r="D38" s="5" t="str">
        <f t="shared" si="1"/>
        <v>10.1016/j.ecolind.2022.108756</v>
      </c>
      <c r="E38" s="3" t="s">
        <v>101</v>
      </c>
      <c r="F38" s="3" t="s">
        <v>27</v>
      </c>
      <c r="G38" s="3" t="str">
        <f>VLOOKUP(F38, Pasarela!$A$1:$F$548, 5, FALSE)</f>
        <v>Physical and psychological experiences</v>
      </c>
      <c r="H38" s="3">
        <f>VLOOKUP(G38, Pasarela!$E$2:$F$548, 2, FALSE)</f>
        <v>16</v>
      </c>
      <c r="I38" s="2" t="s">
        <v>102</v>
      </c>
      <c r="J38" s="3" t="s">
        <v>18</v>
      </c>
    </row>
    <row r="39" ht="14.25" customHeight="1">
      <c r="A39" s="3">
        <v>21.0</v>
      </c>
      <c r="B39" s="3" t="s">
        <v>97</v>
      </c>
      <c r="C39" s="3" t="s">
        <v>98</v>
      </c>
      <c r="D39" s="5" t="str">
        <f t="shared" si="1"/>
        <v>10.1016/j.ecolind.2022.108756</v>
      </c>
      <c r="E39" s="3" t="s">
        <v>103</v>
      </c>
      <c r="F39" s="3" t="s">
        <v>53</v>
      </c>
      <c r="G39" s="3" t="str">
        <f>VLOOKUP(F39, Pasarela!$A$1:$F$548, 5, FALSE)</f>
        <v>Learning and inspiration</v>
      </c>
      <c r="H39" s="3">
        <f>VLOOKUP(G39, Pasarela!$E$2:$F$548, 2, FALSE)</f>
        <v>15</v>
      </c>
      <c r="I39" s="2" t="s">
        <v>104</v>
      </c>
      <c r="J39" s="3" t="s">
        <v>61</v>
      </c>
    </row>
    <row r="40" ht="14.25" customHeight="1">
      <c r="A40" s="3">
        <v>21.0</v>
      </c>
      <c r="B40" s="3" t="s">
        <v>97</v>
      </c>
      <c r="C40" s="3" t="s">
        <v>98</v>
      </c>
      <c r="D40" s="5" t="str">
        <f t="shared" si="1"/>
        <v>10.1016/j.ecolind.2022.108756</v>
      </c>
      <c r="E40" s="3" t="s">
        <v>103</v>
      </c>
      <c r="F40" s="3" t="s">
        <v>65</v>
      </c>
      <c r="G40" s="3" t="str">
        <f>VLOOKUP(F40, Pasarela!$A$1:$F$548, 5, FALSE)</f>
        <v>Learning and inspiration</v>
      </c>
      <c r="H40" s="3">
        <f>VLOOKUP(G40, Pasarela!$E$2:$F$548, 2, FALSE)</f>
        <v>15</v>
      </c>
      <c r="I40" s="2" t="s">
        <v>104</v>
      </c>
      <c r="J40" s="3" t="s">
        <v>61</v>
      </c>
    </row>
    <row r="41" ht="14.25" customHeight="1">
      <c r="A41" s="3">
        <v>21.0</v>
      </c>
      <c r="B41" s="3" t="s">
        <v>97</v>
      </c>
      <c r="C41" s="3" t="s">
        <v>98</v>
      </c>
      <c r="D41" s="5" t="str">
        <f t="shared" si="1"/>
        <v>10.1016/j.ecolind.2022.108756</v>
      </c>
      <c r="E41" s="3" t="s">
        <v>105</v>
      </c>
      <c r="F41" s="3" t="s">
        <v>22</v>
      </c>
      <c r="G41" s="3" t="str">
        <f>VLOOKUP(F41, Pasarela!$A$1:$F$548, 5, FALSE)</f>
        <v>Physical and psychological experiences</v>
      </c>
      <c r="H41" s="3">
        <f>VLOOKUP(G41, Pasarela!$E$2:$F$548, 2, FALSE)</f>
        <v>16</v>
      </c>
      <c r="I41" s="2" t="s">
        <v>106</v>
      </c>
      <c r="J41" s="3" t="s">
        <v>18</v>
      </c>
    </row>
    <row r="42" ht="14.25" customHeight="1">
      <c r="A42" s="3">
        <v>21.0</v>
      </c>
      <c r="B42" s="3" t="s">
        <v>97</v>
      </c>
      <c r="C42" s="3" t="s">
        <v>98</v>
      </c>
      <c r="D42" s="5" t="str">
        <f t="shared" si="1"/>
        <v>10.1016/j.ecolind.2022.108756</v>
      </c>
      <c r="E42" s="3" t="s">
        <v>107</v>
      </c>
      <c r="F42" s="3" t="s">
        <v>27</v>
      </c>
      <c r="G42" s="3" t="str">
        <f>VLOOKUP(F42, Pasarela!$A$1:$F$548, 5, FALSE)</f>
        <v>Physical and psychological experiences</v>
      </c>
      <c r="H42" s="3">
        <f>VLOOKUP(G42, Pasarela!$E$2:$F$548, 2, FALSE)</f>
        <v>16</v>
      </c>
      <c r="I42" s="2" t="s">
        <v>108</v>
      </c>
      <c r="J42" s="3" t="s">
        <v>18</v>
      </c>
    </row>
    <row r="43" ht="14.25" customHeight="1">
      <c r="A43" s="3">
        <v>21.0</v>
      </c>
      <c r="B43" s="3" t="s">
        <v>97</v>
      </c>
      <c r="C43" s="3" t="s">
        <v>98</v>
      </c>
      <c r="D43" s="5" t="str">
        <f t="shared" si="1"/>
        <v>10.1016/j.ecolind.2022.108756</v>
      </c>
      <c r="E43" s="3" t="s">
        <v>109</v>
      </c>
      <c r="F43" s="3" t="s">
        <v>74</v>
      </c>
      <c r="G43" s="3" t="str">
        <f>VLOOKUP(F43, Pasarela!$A$1:$F$548, 5, FALSE)</f>
        <v>Supporting identities</v>
      </c>
      <c r="H43" s="3">
        <f>VLOOKUP(G43, Pasarela!$E$2:$F$548, 2, FALSE)</f>
        <v>17</v>
      </c>
      <c r="I43" s="2" t="s">
        <v>110</v>
      </c>
      <c r="J43" s="3" t="s">
        <v>61</v>
      </c>
    </row>
    <row r="44" ht="14.25" customHeight="1">
      <c r="A44" s="3">
        <v>21.0</v>
      </c>
      <c r="B44" s="3" t="s">
        <v>97</v>
      </c>
      <c r="C44" s="3" t="s">
        <v>98</v>
      </c>
      <c r="D44" s="5" t="str">
        <f t="shared" si="1"/>
        <v>10.1016/j.ecolind.2022.108756</v>
      </c>
      <c r="E44" s="3" t="s">
        <v>109</v>
      </c>
      <c r="F44" s="3" t="s">
        <v>34</v>
      </c>
      <c r="G44" s="3" t="str">
        <f>VLOOKUP(F44, Pasarela!$A$1:$F$548, 5, FALSE)</f>
        <v>Supporting identities</v>
      </c>
      <c r="H44" s="3">
        <f>VLOOKUP(G44, Pasarela!$E$2:$F$548, 2, FALSE)</f>
        <v>17</v>
      </c>
      <c r="I44" s="2" t="s">
        <v>110</v>
      </c>
      <c r="J44" s="3" t="s">
        <v>61</v>
      </c>
    </row>
    <row r="45" ht="14.25" customHeight="1">
      <c r="A45" s="3">
        <v>4.0</v>
      </c>
      <c r="B45" s="3" t="s">
        <v>111</v>
      </c>
      <c r="C45" s="3" t="s">
        <v>112</v>
      </c>
      <c r="D45" s="5" t="str">
        <f t="shared" si="1"/>
        <v>10.1016/j.ecolind.2023.110165</v>
      </c>
      <c r="E45" s="3" t="s">
        <v>113</v>
      </c>
      <c r="F45" s="3" t="s">
        <v>16</v>
      </c>
      <c r="G45" s="3" t="str">
        <f>VLOOKUP(F45, Pasarela!$A$1:$F$548, 5, FALSE)</f>
        <v>Physical and psychological experiences</v>
      </c>
      <c r="H45" s="3">
        <f>VLOOKUP(G45, Pasarela!$E$2:$F$548, 2, FALSE)</f>
        <v>16</v>
      </c>
      <c r="I45" s="2" t="s">
        <v>114</v>
      </c>
      <c r="J45" s="3" t="s">
        <v>18</v>
      </c>
    </row>
    <row r="46" ht="14.25" customHeight="1">
      <c r="A46" s="3">
        <v>4.0</v>
      </c>
      <c r="B46" s="3" t="s">
        <v>111</v>
      </c>
      <c r="C46" s="3" t="s">
        <v>112</v>
      </c>
      <c r="D46" s="5" t="str">
        <f t="shared" si="1"/>
        <v>10.1016/j.ecolind.2023.110165</v>
      </c>
      <c r="E46" s="3" t="s">
        <v>115</v>
      </c>
      <c r="F46" s="3" t="s">
        <v>27</v>
      </c>
      <c r="G46" s="3" t="str">
        <f>VLOOKUP(F46, Pasarela!$A$1:$F$548, 5, FALSE)</f>
        <v>Physical and psychological experiences</v>
      </c>
      <c r="H46" s="3">
        <f>VLOOKUP(G46, Pasarela!$E$2:$F$548, 2, FALSE)</f>
        <v>16</v>
      </c>
      <c r="I46" s="2" t="s">
        <v>116</v>
      </c>
      <c r="J46" s="3" t="s">
        <v>61</v>
      </c>
    </row>
    <row r="47" ht="14.25" customHeight="1">
      <c r="A47" s="3">
        <v>6.0</v>
      </c>
      <c r="B47" s="3" t="s">
        <v>117</v>
      </c>
      <c r="C47" s="3" t="s">
        <v>118</v>
      </c>
      <c r="D47" s="5" t="str">
        <f t="shared" si="1"/>
        <v>10.1016/j.ecolind.2023.109992</v>
      </c>
      <c r="E47" s="3" t="s">
        <v>119</v>
      </c>
      <c r="F47" s="3" t="s">
        <v>62</v>
      </c>
      <c r="G47" s="3" t="str">
        <f>VLOOKUP(F47, Pasarela!$A$1:$F$548, 5, FALSE)</f>
        <v>Learning and inspiration</v>
      </c>
      <c r="H47" s="6">
        <f>VLOOKUP(G47, Pasarela!$E$2:$F$548, 2, FALSE)</f>
        <v>15</v>
      </c>
      <c r="I47" s="2" t="s">
        <v>120</v>
      </c>
      <c r="J47" s="3" t="s">
        <v>61</v>
      </c>
    </row>
    <row r="48" ht="14.25" customHeight="1">
      <c r="A48" s="3">
        <v>6.0</v>
      </c>
      <c r="B48" s="3" t="s">
        <v>117</v>
      </c>
      <c r="C48" s="3" t="s">
        <v>118</v>
      </c>
      <c r="D48" s="5" t="str">
        <f t="shared" si="1"/>
        <v>10.1016/j.ecolind.2023.109992</v>
      </c>
      <c r="E48" s="3" t="s">
        <v>119</v>
      </c>
      <c r="F48" s="3" t="s">
        <v>16</v>
      </c>
      <c r="G48" s="3" t="str">
        <f>VLOOKUP(F48, Pasarela!$A$1:$F$548, 5, FALSE)</f>
        <v>Physical and psychological experiences</v>
      </c>
      <c r="H48" s="3">
        <f>VLOOKUP(G48, Pasarela!$E$2:$F$548, 2, FALSE)</f>
        <v>16</v>
      </c>
      <c r="I48" s="2" t="s">
        <v>120</v>
      </c>
      <c r="J48" s="3" t="s">
        <v>61</v>
      </c>
    </row>
    <row r="49" ht="14.25" customHeight="1">
      <c r="A49" s="3">
        <v>6.0</v>
      </c>
      <c r="B49" s="3" t="s">
        <v>117</v>
      </c>
      <c r="C49" s="3" t="s">
        <v>118</v>
      </c>
      <c r="D49" s="5" t="str">
        <f t="shared" si="1"/>
        <v>10.1016/j.ecolind.2023.109992</v>
      </c>
      <c r="E49" s="3" t="s">
        <v>121</v>
      </c>
      <c r="F49" s="3" t="s">
        <v>34</v>
      </c>
      <c r="G49" s="3" t="str">
        <f>VLOOKUP(F49, Pasarela!$A$1:$F$548, 5, FALSE)</f>
        <v>Supporting identities</v>
      </c>
      <c r="H49" s="3">
        <f>VLOOKUP(G49, Pasarela!$E$2:$F$548, 2, FALSE)</f>
        <v>17</v>
      </c>
      <c r="I49" s="2" t="s">
        <v>122</v>
      </c>
      <c r="J49" s="3" t="s">
        <v>61</v>
      </c>
    </row>
    <row r="50" ht="14.25" customHeight="1">
      <c r="A50" s="3">
        <v>6.0</v>
      </c>
      <c r="B50" s="3" t="s">
        <v>117</v>
      </c>
      <c r="C50" s="3" t="s">
        <v>118</v>
      </c>
      <c r="D50" s="5" t="str">
        <f t="shared" si="1"/>
        <v>10.1016/j.ecolind.2023.109992</v>
      </c>
      <c r="E50" s="3" t="s">
        <v>121</v>
      </c>
      <c r="F50" s="3" t="s">
        <v>53</v>
      </c>
      <c r="G50" s="3" t="str">
        <f>VLOOKUP(F50, Pasarela!$A$1:$F$548, 5, FALSE)</f>
        <v>Learning and inspiration</v>
      </c>
      <c r="H50" s="3">
        <f>VLOOKUP(G50, Pasarela!$E$2:$F$548, 2, FALSE)</f>
        <v>15</v>
      </c>
      <c r="I50" s="2" t="s">
        <v>122</v>
      </c>
      <c r="J50" s="3" t="s">
        <v>61</v>
      </c>
    </row>
    <row r="51" ht="14.25" customHeight="1">
      <c r="A51" s="3">
        <v>6.0</v>
      </c>
      <c r="B51" s="3" t="s">
        <v>117</v>
      </c>
      <c r="C51" s="3" t="s">
        <v>118</v>
      </c>
      <c r="D51" s="5" t="str">
        <f t="shared" si="1"/>
        <v>10.1016/j.ecolind.2023.109992</v>
      </c>
      <c r="E51" s="3" t="s">
        <v>123</v>
      </c>
      <c r="F51" s="3" t="s">
        <v>27</v>
      </c>
      <c r="G51" s="3" t="str">
        <f>VLOOKUP(F51, Pasarela!$A$1:$F$548, 5, FALSE)</f>
        <v>Physical and psychological experiences</v>
      </c>
      <c r="H51" s="3">
        <f>VLOOKUP(G51, Pasarela!$E$2:$F$548, 2, FALSE)</f>
        <v>16</v>
      </c>
      <c r="I51" s="2" t="s">
        <v>124</v>
      </c>
      <c r="J51" s="3" t="s">
        <v>18</v>
      </c>
    </row>
    <row r="52" ht="14.25" customHeight="1">
      <c r="A52" s="3">
        <v>41.0</v>
      </c>
      <c r="B52" s="3" t="s">
        <v>125</v>
      </c>
      <c r="C52" s="3" t="s">
        <v>126</v>
      </c>
      <c r="D52" s="5" t="str">
        <f t="shared" si="1"/>
        <v>10.3897/oneeco.8.e95685</v>
      </c>
      <c r="E52" s="3" t="s">
        <v>127</v>
      </c>
      <c r="F52" s="3" t="s">
        <v>128</v>
      </c>
      <c r="G52" s="3" t="s">
        <v>128</v>
      </c>
      <c r="H52" s="3" t="s">
        <v>129</v>
      </c>
      <c r="I52" s="2" t="s">
        <v>130</v>
      </c>
      <c r="J52" s="3" t="s">
        <v>18</v>
      </c>
    </row>
    <row r="53" ht="14.25" customHeight="1">
      <c r="A53" s="3">
        <v>48.0</v>
      </c>
      <c r="B53" s="3" t="s">
        <v>131</v>
      </c>
      <c r="C53" s="3" t="s">
        <v>132</v>
      </c>
      <c r="D53" s="5" t="str">
        <f t="shared" si="1"/>
        <v>10.1016/j.ecoser.2017.09.004</v>
      </c>
      <c r="E53" s="3" t="s">
        <v>127</v>
      </c>
      <c r="F53" s="3" t="s">
        <v>128</v>
      </c>
      <c r="G53" s="3" t="s">
        <v>128</v>
      </c>
      <c r="H53" s="3" t="s">
        <v>129</v>
      </c>
      <c r="I53" s="2" t="s">
        <v>133</v>
      </c>
      <c r="J53" s="3" t="s">
        <v>18</v>
      </c>
    </row>
    <row r="54" ht="14.25" customHeight="1">
      <c r="A54" s="3">
        <v>35.0</v>
      </c>
      <c r="B54" s="3" t="s">
        <v>134</v>
      </c>
      <c r="C54" s="3" t="s">
        <v>135</v>
      </c>
      <c r="D54" s="5" t="str">
        <f t="shared" si="1"/>
        <v>10.1016/j.ecoser.2017.11.017</v>
      </c>
      <c r="E54" s="3" t="s">
        <v>26</v>
      </c>
      <c r="F54" s="3" t="s">
        <v>27</v>
      </c>
      <c r="G54" s="3" t="str">
        <f>VLOOKUP(F54, Pasarela!$A$1:$F$548, 5, FALSE)</f>
        <v>Physical and psychological experiences</v>
      </c>
      <c r="H54" s="3">
        <f>VLOOKUP(G54, Pasarela!$E$2:$F$548, 2, FALSE)</f>
        <v>16</v>
      </c>
      <c r="I54" s="2" t="s">
        <v>136</v>
      </c>
      <c r="J54" s="3" t="s">
        <v>18</v>
      </c>
    </row>
    <row r="55" ht="14.25" customHeight="1">
      <c r="A55" s="3">
        <v>32.0</v>
      </c>
      <c r="B55" s="3" t="s">
        <v>137</v>
      </c>
      <c r="C55" s="3" t="s">
        <v>138</v>
      </c>
      <c r="D55" s="5" t="str">
        <f t="shared" si="1"/>
        <v>10.1016/j.ecoser.2018.03.022</v>
      </c>
      <c r="E55" s="3" t="s">
        <v>139</v>
      </c>
      <c r="F55" s="3" t="s">
        <v>34</v>
      </c>
      <c r="G55" s="3" t="str">
        <f>VLOOKUP(F55, Pasarela!$A$1:$F$548, 5, FALSE)</f>
        <v>Supporting identities</v>
      </c>
      <c r="H55" s="3">
        <f>VLOOKUP(G55, Pasarela!$E$2:$F$548, 2, FALSE)</f>
        <v>17</v>
      </c>
      <c r="I55" s="2" t="s">
        <v>140</v>
      </c>
      <c r="J55" s="3" t="s">
        <v>18</v>
      </c>
    </row>
    <row r="56" ht="14.25" customHeight="1">
      <c r="A56" s="3">
        <v>32.0</v>
      </c>
      <c r="B56" s="3" t="s">
        <v>137</v>
      </c>
      <c r="C56" s="3" t="s">
        <v>138</v>
      </c>
      <c r="D56" s="5" t="str">
        <f t="shared" si="1"/>
        <v>10.1016/j.ecoser.2018.03.022</v>
      </c>
      <c r="E56" s="3" t="s">
        <v>141</v>
      </c>
      <c r="F56" s="3" t="s">
        <v>27</v>
      </c>
      <c r="G56" s="3" t="str">
        <f>VLOOKUP(F56, Pasarela!$A$1:$F$548, 5, FALSE)</f>
        <v>Physical and psychological experiences</v>
      </c>
      <c r="H56" s="3">
        <f>VLOOKUP(G56, Pasarela!$E$2:$F$548, 2, FALSE)</f>
        <v>16</v>
      </c>
      <c r="I56" s="2" t="s">
        <v>142</v>
      </c>
      <c r="J56" s="3" t="s">
        <v>18</v>
      </c>
    </row>
    <row r="57" ht="14.25" customHeight="1">
      <c r="A57" s="3">
        <v>32.0</v>
      </c>
      <c r="B57" s="3" t="s">
        <v>137</v>
      </c>
      <c r="C57" s="3" t="s">
        <v>138</v>
      </c>
      <c r="D57" s="5" t="str">
        <f t="shared" si="1"/>
        <v>10.1016/j.ecoser.2018.03.022</v>
      </c>
      <c r="E57" s="3" t="s">
        <v>143</v>
      </c>
      <c r="F57" s="3" t="s">
        <v>22</v>
      </c>
      <c r="G57" s="3" t="str">
        <f>VLOOKUP(F57, Pasarela!$A$1:$F$548, 5, FALSE)</f>
        <v>Physical and psychological experiences</v>
      </c>
      <c r="H57" s="3">
        <f>VLOOKUP(G57, Pasarela!$E$2:$F$548, 2, FALSE)</f>
        <v>16</v>
      </c>
      <c r="I57" s="2" t="s">
        <v>144</v>
      </c>
      <c r="J57" s="3" t="s">
        <v>18</v>
      </c>
    </row>
    <row r="58" ht="14.25" customHeight="1">
      <c r="A58" s="3">
        <v>32.0</v>
      </c>
      <c r="B58" s="3" t="s">
        <v>137</v>
      </c>
      <c r="C58" s="3" t="s">
        <v>138</v>
      </c>
      <c r="D58" s="5" t="str">
        <f t="shared" si="1"/>
        <v>10.1016/j.ecoser.2018.03.022</v>
      </c>
      <c r="E58" s="3" t="s">
        <v>145</v>
      </c>
      <c r="F58" s="3" t="s">
        <v>16</v>
      </c>
      <c r="G58" s="3" t="str">
        <f>VLOOKUP(F58, Pasarela!$A$1:$F$548, 5, FALSE)</f>
        <v>Physical and psychological experiences</v>
      </c>
      <c r="H58" s="3">
        <f>VLOOKUP(G58, Pasarela!$E$2:$F$548, 2, FALSE)</f>
        <v>16</v>
      </c>
      <c r="I58" s="2" t="s">
        <v>146</v>
      </c>
      <c r="J58" s="3" t="s">
        <v>18</v>
      </c>
    </row>
    <row r="59" ht="14.25" customHeight="1">
      <c r="A59" s="3">
        <v>16.0</v>
      </c>
      <c r="B59" s="3" t="s">
        <v>147</v>
      </c>
      <c r="C59" s="3" t="s">
        <v>148</v>
      </c>
      <c r="D59" s="5" t="str">
        <f t="shared" si="1"/>
        <v>10.1016/j.ecoser.2020.101091</v>
      </c>
      <c r="E59" s="3" t="s">
        <v>149</v>
      </c>
      <c r="F59" s="3" t="s">
        <v>27</v>
      </c>
      <c r="G59" s="3" t="str">
        <f>VLOOKUP(F59, Pasarela!$A$1:$F$548, 5, FALSE)</f>
        <v>Physical and psychological experiences</v>
      </c>
      <c r="H59" s="3">
        <f>VLOOKUP(G59, Pasarela!$E$2:$F$548, 2, FALSE)</f>
        <v>16</v>
      </c>
      <c r="I59" s="2" t="s">
        <v>150</v>
      </c>
      <c r="J59" s="3" t="s">
        <v>18</v>
      </c>
    </row>
    <row r="60" ht="14.25" customHeight="1">
      <c r="A60" s="3">
        <v>16.0</v>
      </c>
      <c r="B60" s="3" t="s">
        <v>147</v>
      </c>
      <c r="C60" s="3" t="s">
        <v>148</v>
      </c>
      <c r="D60" s="5" t="str">
        <f t="shared" si="1"/>
        <v>10.1016/j.ecoser.2020.101091</v>
      </c>
      <c r="E60" s="3" t="s">
        <v>151</v>
      </c>
      <c r="F60" s="3" t="s">
        <v>16</v>
      </c>
      <c r="G60" s="3" t="str">
        <f>VLOOKUP(F60, Pasarela!$A$1:$F$548, 5, FALSE)</f>
        <v>Physical and psychological experiences</v>
      </c>
      <c r="H60" s="3">
        <f>VLOOKUP(G60, Pasarela!$E$2:$F$548, 2, FALSE)</f>
        <v>16</v>
      </c>
      <c r="I60" s="2" t="s">
        <v>152</v>
      </c>
      <c r="J60" s="3" t="s">
        <v>18</v>
      </c>
    </row>
    <row r="61" ht="14.25" customHeight="1">
      <c r="A61" s="3">
        <v>16.0</v>
      </c>
      <c r="B61" s="3" t="s">
        <v>147</v>
      </c>
      <c r="C61" s="3" t="s">
        <v>148</v>
      </c>
      <c r="D61" s="5" t="str">
        <f t="shared" si="1"/>
        <v>10.1016/j.ecoser.2020.101091</v>
      </c>
      <c r="E61" s="3" t="s">
        <v>153</v>
      </c>
      <c r="F61" s="3" t="s">
        <v>22</v>
      </c>
      <c r="G61" s="3" t="str">
        <f>VLOOKUP(F61, Pasarela!$A$1:$F$548, 5, FALSE)</f>
        <v>Physical and psychological experiences</v>
      </c>
      <c r="H61" s="3">
        <f>VLOOKUP(G61, Pasarela!$E$2:$F$548, 2, FALSE)</f>
        <v>16</v>
      </c>
      <c r="I61" s="2" t="s">
        <v>154</v>
      </c>
      <c r="J61" s="3" t="s">
        <v>18</v>
      </c>
    </row>
    <row r="62" ht="14.25" customHeight="1">
      <c r="A62" s="3">
        <v>14.0</v>
      </c>
      <c r="B62" s="3" t="s">
        <v>155</v>
      </c>
      <c r="C62" s="3" t="s">
        <v>156</v>
      </c>
      <c r="D62" s="5" t="str">
        <f t="shared" si="1"/>
        <v>10.1016/j.ecoser.2023.101566</v>
      </c>
      <c r="E62" s="3" t="s">
        <v>157</v>
      </c>
      <c r="F62" s="3" t="s">
        <v>34</v>
      </c>
      <c r="G62" s="3" t="str">
        <f>VLOOKUP(F62, Pasarela!$A$1:$F$548, 5, FALSE)</f>
        <v>Supporting identities</v>
      </c>
      <c r="H62" s="3">
        <f>VLOOKUP(G62, Pasarela!$E$2:$F$548, 2, FALSE)</f>
        <v>17</v>
      </c>
      <c r="I62" s="2" t="s">
        <v>158</v>
      </c>
      <c r="J62" s="3" t="s">
        <v>18</v>
      </c>
    </row>
    <row r="63" ht="14.25" customHeight="1">
      <c r="A63" s="3">
        <v>14.0</v>
      </c>
      <c r="B63" s="3" t="s">
        <v>155</v>
      </c>
      <c r="C63" s="3" t="s">
        <v>156</v>
      </c>
      <c r="D63" s="5" t="str">
        <f t="shared" si="1"/>
        <v>10.1016/j.ecoser.2023.101566</v>
      </c>
      <c r="E63" s="3" t="s">
        <v>159</v>
      </c>
      <c r="F63" s="3" t="s">
        <v>22</v>
      </c>
      <c r="G63" s="3" t="str">
        <f>VLOOKUP(F63, Pasarela!$A$1:$F$548, 5, FALSE)</f>
        <v>Physical and psychological experiences</v>
      </c>
      <c r="H63" s="3">
        <f>VLOOKUP(G63, Pasarela!$E$2:$F$548, 2, FALSE)</f>
        <v>16</v>
      </c>
      <c r="I63" s="2" t="s">
        <v>160</v>
      </c>
      <c r="J63" s="3" t="s">
        <v>61</v>
      </c>
    </row>
    <row r="64" ht="14.25" customHeight="1">
      <c r="A64" s="3">
        <v>14.0</v>
      </c>
      <c r="B64" s="3" t="s">
        <v>155</v>
      </c>
      <c r="C64" s="3" t="s">
        <v>156</v>
      </c>
      <c r="D64" s="5" t="str">
        <f t="shared" si="1"/>
        <v>10.1016/j.ecoser.2023.101566</v>
      </c>
      <c r="E64" s="3" t="s">
        <v>159</v>
      </c>
      <c r="F64" s="3" t="s">
        <v>16</v>
      </c>
      <c r="G64" s="3" t="str">
        <f>VLOOKUP(F64, Pasarela!$A$1:$F$548, 5, FALSE)</f>
        <v>Physical and psychological experiences</v>
      </c>
      <c r="H64" s="3">
        <f>VLOOKUP(G64, Pasarela!$E$2:$F$548, 2, FALSE)</f>
        <v>16</v>
      </c>
      <c r="I64" s="2" t="s">
        <v>160</v>
      </c>
      <c r="J64" s="3" t="s">
        <v>61</v>
      </c>
    </row>
    <row r="65" ht="14.25" customHeight="1">
      <c r="A65" s="3">
        <v>14.0</v>
      </c>
      <c r="B65" s="3" t="s">
        <v>155</v>
      </c>
      <c r="C65" s="3" t="s">
        <v>156</v>
      </c>
      <c r="D65" s="5" t="str">
        <f t="shared" si="1"/>
        <v>10.1016/j.ecoser.2023.101566</v>
      </c>
      <c r="E65" s="3" t="s">
        <v>161</v>
      </c>
      <c r="F65" s="3" t="s">
        <v>162</v>
      </c>
      <c r="I65" s="2" t="s">
        <v>163</v>
      </c>
      <c r="J65" s="3" t="s">
        <v>18</v>
      </c>
    </row>
    <row r="66" ht="14.25" customHeight="1">
      <c r="A66" s="3">
        <v>14.0</v>
      </c>
      <c r="B66" s="3" t="s">
        <v>155</v>
      </c>
      <c r="C66" s="3" t="s">
        <v>156</v>
      </c>
      <c r="D66" s="5" t="str">
        <f t="shared" si="1"/>
        <v>10.1016/j.ecoser.2023.101566</v>
      </c>
      <c r="E66" s="3" t="s">
        <v>164</v>
      </c>
      <c r="F66" s="3" t="s">
        <v>34</v>
      </c>
      <c r="G66" s="3" t="str">
        <f>VLOOKUP(F66, Pasarela!$A$1:$F$548, 5, FALSE)</f>
        <v>Supporting identities</v>
      </c>
      <c r="H66" s="3">
        <f>VLOOKUP(G66, Pasarela!$E$2:$F$548, 2, FALSE)</f>
        <v>17</v>
      </c>
      <c r="I66" s="2" t="s">
        <v>165</v>
      </c>
      <c r="J66" s="3" t="s">
        <v>18</v>
      </c>
    </row>
    <row r="67" ht="14.25" customHeight="1">
      <c r="A67" s="3">
        <v>14.0</v>
      </c>
      <c r="B67" s="3" t="s">
        <v>155</v>
      </c>
      <c r="C67" s="3" t="s">
        <v>156</v>
      </c>
      <c r="D67" s="5" t="str">
        <f t="shared" si="1"/>
        <v>10.1016/j.ecoser.2023.101566</v>
      </c>
      <c r="E67" s="3" t="s">
        <v>166</v>
      </c>
      <c r="F67" s="3" t="s">
        <v>53</v>
      </c>
      <c r="G67" s="3" t="str">
        <f>VLOOKUP(F67, Pasarela!$A$1:$F$548, 5, FALSE)</f>
        <v>Learning and inspiration</v>
      </c>
      <c r="H67" s="3">
        <f>VLOOKUP(G67, Pasarela!$E$2:$F$548, 2, FALSE)</f>
        <v>15</v>
      </c>
      <c r="I67" s="2" t="s">
        <v>167</v>
      </c>
      <c r="J67" s="3" t="s">
        <v>18</v>
      </c>
    </row>
    <row r="68" ht="14.25" customHeight="1">
      <c r="A68" s="3">
        <v>14.0</v>
      </c>
      <c r="B68" s="3" t="s">
        <v>155</v>
      </c>
      <c r="C68" s="3" t="s">
        <v>156</v>
      </c>
      <c r="D68" s="5" t="str">
        <f t="shared" si="1"/>
        <v>10.1016/j.ecoser.2023.101566</v>
      </c>
      <c r="E68" s="3" t="s">
        <v>168</v>
      </c>
      <c r="F68" s="3" t="s">
        <v>27</v>
      </c>
      <c r="G68" s="3" t="str">
        <f>VLOOKUP(F68, Pasarela!$A$1:$F$548, 5, FALSE)</f>
        <v>Physical and psychological experiences</v>
      </c>
      <c r="H68" s="3">
        <f>VLOOKUP(G68, Pasarela!$E$2:$F$548, 2, FALSE)</f>
        <v>16</v>
      </c>
      <c r="I68" s="2" t="s">
        <v>169</v>
      </c>
      <c r="J68" s="3" t="s">
        <v>18</v>
      </c>
    </row>
    <row r="69" ht="14.25" customHeight="1">
      <c r="A69" s="3">
        <v>14.0</v>
      </c>
      <c r="B69" s="3" t="s">
        <v>155</v>
      </c>
      <c r="C69" s="3" t="s">
        <v>156</v>
      </c>
      <c r="D69" s="5" t="str">
        <f t="shared" si="1"/>
        <v>10.1016/j.ecoser.2023.101566</v>
      </c>
      <c r="E69" s="3" t="s">
        <v>27</v>
      </c>
      <c r="F69" s="3" t="s">
        <v>27</v>
      </c>
      <c r="G69" s="3" t="str">
        <f>VLOOKUP(F69, Pasarela!$A$1:$F$548, 5, FALSE)</f>
        <v>Physical and psychological experiences</v>
      </c>
      <c r="H69" s="3">
        <f>VLOOKUP(G69, Pasarela!$E$2:$F$548, 2, FALSE)</f>
        <v>16</v>
      </c>
      <c r="I69" s="2" t="s">
        <v>170</v>
      </c>
      <c r="J69" s="3" t="s">
        <v>18</v>
      </c>
    </row>
    <row r="70" ht="14.25" customHeight="1">
      <c r="A70" s="3">
        <v>14.0</v>
      </c>
      <c r="B70" s="3" t="s">
        <v>155</v>
      </c>
      <c r="C70" s="3" t="s">
        <v>156</v>
      </c>
      <c r="D70" s="5" t="str">
        <f t="shared" si="1"/>
        <v>10.1016/j.ecoser.2023.101566</v>
      </c>
      <c r="E70" s="3" t="s">
        <v>171</v>
      </c>
      <c r="F70" s="3" t="s">
        <v>172</v>
      </c>
      <c r="G70" s="3" t="str">
        <f>VLOOKUP(F70, Pasarela!$A$1:$F$548, 5, FALSE)</f>
        <v>Physical and psychological experiences</v>
      </c>
      <c r="H70" s="3">
        <f>VLOOKUP(G70, Pasarela!$E$2:$F$548, 2, FALSE)</f>
        <v>16</v>
      </c>
      <c r="I70" s="2" t="s">
        <v>173</v>
      </c>
      <c r="J70" s="3" t="s">
        <v>18</v>
      </c>
    </row>
    <row r="71" ht="14.25" customHeight="1">
      <c r="A71" s="3">
        <v>14.0</v>
      </c>
      <c r="B71" s="3" t="s">
        <v>155</v>
      </c>
      <c r="C71" s="3" t="s">
        <v>156</v>
      </c>
      <c r="D71" s="5" t="str">
        <f t="shared" si="1"/>
        <v>10.1016/j.ecoser.2023.101566</v>
      </c>
      <c r="E71" s="3" t="s">
        <v>174</v>
      </c>
      <c r="F71" s="3" t="s">
        <v>16</v>
      </c>
      <c r="G71" s="3" t="str">
        <f>VLOOKUP(F71, Pasarela!$A$1:$F$548, 5, FALSE)</f>
        <v>Physical and psychological experiences</v>
      </c>
      <c r="H71" s="3">
        <f>VLOOKUP(G71, Pasarela!$E$2:$F$548, 2, FALSE)</f>
        <v>16</v>
      </c>
      <c r="I71" s="2" t="s">
        <v>175</v>
      </c>
      <c r="J71" s="3" t="s">
        <v>18</v>
      </c>
    </row>
    <row r="72" ht="14.25" customHeight="1">
      <c r="A72" s="3">
        <v>14.0</v>
      </c>
      <c r="B72" s="3" t="s">
        <v>155</v>
      </c>
      <c r="C72" s="3" t="s">
        <v>156</v>
      </c>
      <c r="D72" s="5" t="str">
        <f t="shared" si="1"/>
        <v>10.1016/j.ecoser.2023.101566</v>
      </c>
      <c r="E72" s="3" t="s">
        <v>73</v>
      </c>
      <c r="F72" s="3" t="s">
        <v>74</v>
      </c>
      <c r="G72" s="3" t="str">
        <f>VLOOKUP(F72, Pasarela!$A$1:$F$548, 5, FALSE)</f>
        <v>Supporting identities</v>
      </c>
      <c r="H72" s="3">
        <f>VLOOKUP(G72, Pasarela!$E$2:$F$548, 2, FALSE)</f>
        <v>17</v>
      </c>
      <c r="I72" s="2" t="s">
        <v>176</v>
      </c>
      <c r="J72" s="3" t="s">
        <v>18</v>
      </c>
    </row>
    <row r="73" ht="14.25" customHeight="1">
      <c r="A73" s="3">
        <v>17.0</v>
      </c>
      <c r="B73" s="3" t="s">
        <v>177</v>
      </c>
      <c r="C73" s="3" t="s">
        <v>178</v>
      </c>
      <c r="D73" s="5" t="str">
        <f t="shared" si="1"/>
        <v>10.1016/j.ecoser.2017.02.009</v>
      </c>
      <c r="E73" s="3" t="s">
        <v>179</v>
      </c>
      <c r="F73" s="3" t="s">
        <v>16</v>
      </c>
      <c r="G73" s="3" t="str">
        <f>VLOOKUP(F73, Pasarela!$A$1:$F$548, 5, FALSE)</f>
        <v>Physical and psychological experiences</v>
      </c>
      <c r="H73" s="3">
        <f>VLOOKUP(G73, Pasarela!$E$2:$F$548, 2, FALSE)</f>
        <v>16</v>
      </c>
      <c r="I73" s="2" t="s">
        <v>180</v>
      </c>
      <c r="J73" s="3" t="s">
        <v>18</v>
      </c>
    </row>
    <row r="74" ht="14.25" customHeight="1">
      <c r="A74" s="3">
        <v>45.0</v>
      </c>
      <c r="B74" s="3" t="s">
        <v>181</v>
      </c>
      <c r="C74" s="3" t="s">
        <v>182</v>
      </c>
      <c r="D74" s="5" t="str">
        <f t="shared" si="1"/>
        <v>10.1016/j.jenvman.2022.115487</v>
      </c>
      <c r="E74" s="3" t="s">
        <v>183</v>
      </c>
      <c r="F74" s="3" t="s">
        <v>27</v>
      </c>
      <c r="G74" s="3" t="str">
        <f>VLOOKUP(F74, Pasarela!$A$1:$F$548, 5, FALSE)</f>
        <v>Physical and psychological experiences</v>
      </c>
      <c r="H74" s="3">
        <f>VLOOKUP(G74, Pasarela!$E$2:$F$548, 2, FALSE)</f>
        <v>16</v>
      </c>
      <c r="I74" s="2" t="s">
        <v>184</v>
      </c>
      <c r="J74" s="3" t="s">
        <v>61</v>
      </c>
    </row>
    <row r="75" ht="14.25" customHeight="1">
      <c r="A75" s="3">
        <v>45.0</v>
      </c>
      <c r="B75" s="3" t="s">
        <v>181</v>
      </c>
      <c r="C75" s="3" t="s">
        <v>182</v>
      </c>
      <c r="D75" s="5" t="str">
        <f t="shared" si="1"/>
        <v>10.1016/j.jenvman.2022.115487</v>
      </c>
      <c r="E75" s="3" t="s">
        <v>185</v>
      </c>
      <c r="F75" s="3" t="s">
        <v>16</v>
      </c>
      <c r="G75" s="3" t="str">
        <f>VLOOKUP(F75, Pasarela!$A$1:$F$548, 5, FALSE)</f>
        <v>Physical and psychological experiences</v>
      </c>
      <c r="H75" s="3">
        <f>VLOOKUP(G75, Pasarela!$E$2:$F$548, 2, FALSE)</f>
        <v>16</v>
      </c>
      <c r="I75" s="2" t="s">
        <v>184</v>
      </c>
      <c r="J75" s="3" t="s">
        <v>61</v>
      </c>
    </row>
    <row r="76" ht="14.25" customHeight="1">
      <c r="A76" s="3">
        <v>45.0</v>
      </c>
      <c r="B76" s="3" t="s">
        <v>181</v>
      </c>
      <c r="C76" s="3" t="s">
        <v>182</v>
      </c>
      <c r="D76" s="5" t="str">
        <f t="shared" si="1"/>
        <v>10.1016/j.jenvman.2022.115487</v>
      </c>
      <c r="E76" s="3" t="s">
        <v>186</v>
      </c>
      <c r="F76" s="3" t="s">
        <v>65</v>
      </c>
      <c r="G76" s="3" t="str">
        <f>VLOOKUP(F76, Pasarela!$A$1:$F$548, 5, FALSE)</f>
        <v>Learning and inspiration</v>
      </c>
      <c r="H76" s="3">
        <f>VLOOKUP(G76, Pasarela!$E$2:$F$548, 2, FALSE)</f>
        <v>15</v>
      </c>
      <c r="I76" s="2" t="s">
        <v>184</v>
      </c>
      <c r="J76" s="3" t="s">
        <v>61</v>
      </c>
    </row>
    <row r="77" ht="14.25" customHeight="1">
      <c r="A77" s="3">
        <v>45.0</v>
      </c>
      <c r="B77" s="3" t="s">
        <v>181</v>
      </c>
      <c r="C77" s="3" t="s">
        <v>182</v>
      </c>
      <c r="D77" s="5" t="str">
        <f t="shared" si="1"/>
        <v>10.1016/j.jenvman.2022.115487</v>
      </c>
      <c r="E77" s="3" t="s">
        <v>186</v>
      </c>
      <c r="F77" s="3" t="s">
        <v>53</v>
      </c>
      <c r="G77" s="3" t="str">
        <f>VLOOKUP(F77, Pasarela!$A$1:$F$548, 5, FALSE)</f>
        <v>Learning and inspiration</v>
      </c>
      <c r="H77" s="3">
        <f>VLOOKUP(G77, Pasarela!$E$2:$F$548, 2, FALSE)</f>
        <v>15</v>
      </c>
      <c r="I77" s="2" t="s">
        <v>184</v>
      </c>
      <c r="J77" s="3" t="s">
        <v>61</v>
      </c>
    </row>
    <row r="78" ht="14.25" customHeight="1">
      <c r="A78" s="3">
        <v>45.0</v>
      </c>
      <c r="B78" s="3" t="s">
        <v>181</v>
      </c>
      <c r="C78" s="3" t="s">
        <v>182</v>
      </c>
      <c r="D78" s="5" t="str">
        <f t="shared" si="1"/>
        <v>10.1016/j.jenvman.2022.115487</v>
      </c>
      <c r="E78" s="3" t="s">
        <v>186</v>
      </c>
      <c r="F78" s="3" t="s">
        <v>34</v>
      </c>
      <c r="G78" s="3" t="str">
        <f>VLOOKUP(F78, Pasarela!$A$1:$F$548, 5, FALSE)</f>
        <v>Supporting identities</v>
      </c>
      <c r="H78" s="3">
        <f>VLOOKUP(G78, Pasarela!$E$2:$F$548, 2, FALSE)</f>
        <v>17</v>
      </c>
      <c r="I78" s="2" t="s">
        <v>184</v>
      </c>
      <c r="J78" s="3" t="s">
        <v>61</v>
      </c>
    </row>
    <row r="79" ht="14.25" customHeight="1">
      <c r="A79" s="3">
        <v>45.0</v>
      </c>
      <c r="B79" s="3" t="s">
        <v>181</v>
      </c>
      <c r="C79" s="3" t="s">
        <v>182</v>
      </c>
      <c r="D79" s="5" t="str">
        <f t="shared" si="1"/>
        <v>10.1016/j.jenvman.2022.115487</v>
      </c>
      <c r="E79" s="3" t="s">
        <v>187</v>
      </c>
      <c r="F79" s="3" t="s">
        <v>74</v>
      </c>
      <c r="G79" s="3" t="str">
        <f>VLOOKUP(F79, Pasarela!$A$1:$F$548, 5, FALSE)</f>
        <v>Supporting identities</v>
      </c>
      <c r="H79" s="3">
        <f>VLOOKUP(G79, Pasarela!$E$2:$F$548, 2, FALSE)</f>
        <v>17</v>
      </c>
      <c r="I79" s="2" t="s">
        <v>184</v>
      </c>
      <c r="J79" s="3" t="s">
        <v>61</v>
      </c>
    </row>
    <row r="80" ht="14.25" customHeight="1">
      <c r="A80" s="3">
        <v>5.0</v>
      </c>
      <c r="B80" s="3" t="s">
        <v>188</v>
      </c>
      <c r="C80" s="3" t="s">
        <v>189</v>
      </c>
      <c r="D80" s="5" t="str">
        <f t="shared" si="1"/>
        <v>10.1016/j.scitotenv.2023.169255</v>
      </c>
      <c r="E80" s="3" t="s">
        <v>190</v>
      </c>
      <c r="F80" s="3" t="s">
        <v>56</v>
      </c>
      <c r="G80" s="3" t="str">
        <f>VLOOKUP(F80, Pasarela!$A$1:$F$548, 5, FALSE)</f>
        <v>Maintenance of options</v>
      </c>
      <c r="H80" s="3">
        <f>VLOOKUP(G80, Pasarela!$E$2:$F$548, 2, FALSE)</f>
        <v>18</v>
      </c>
      <c r="I80" s="2" t="s">
        <v>191</v>
      </c>
      <c r="J80" s="3" t="s">
        <v>18</v>
      </c>
    </row>
    <row r="81" ht="14.25" customHeight="1">
      <c r="A81" s="3">
        <v>5.0</v>
      </c>
      <c r="B81" s="3" t="s">
        <v>188</v>
      </c>
      <c r="C81" s="3" t="s">
        <v>189</v>
      </c>
      <c r="D81" s="5" t="str">
        <f t="shared" si="1"/>
        <v>10.1016/j.scitotenv.2023.169255</v>
      </c>
      <c r="E81" s="3" t="s">
        <v>192</v>
      </c>
      <c r="F81" s="3" t="s">
        <v>16</v>
      </c>
      <c r="G81" s="3" t="str">
        <f>VLOOKUP(F81, Pasarela!$A$1:$F$548, 5, FALSE)</f>
        <v>Physical and psychological experiences</v>
      </c>
      <c r="H81" s="3">
        <f>VLOOKUP(G81, Pasarela!$E$2:$F$548, 2, FALSE)</f>
        <v>16</v>
      </c>
      <c r="I81" s="2" t="s">
        <v>193</v>
      </c>
      <c r="J81" s="3" t="s">
        <v>18</v>
      </c>
    </row>
    <row r="82" ht="14.25" customHeight="1">
      <c r="A82" s="3">
        <v>5.0</v>
      </c>
      <c r="B82" s="3" t="s">
        <v>188</v>
      </c>
      <c r="C82" s="3" t="s">
        <v>189</v>
      </c>
      <c r="D82" s="5" t="str">
        <f t="shared" si="1"/>
        <v>10.1016/j.scitotenv.2023.169255</v>
      </c>
      <c r="E82" s="3" t="s">
        <v>194</v>
      </c>
      <c r="F82" s="3" t="s">
        <v>53</v>
      </c>
      <c r="G82" s="3" t="str">
        <f>VLOOKUP(F82, Pasarela!$A$1:$F$548, 5, FALSE)</f>
        <v>Learning and inspiration</v>
      </c>
      <c r="H82" s="3">
        <f>VLOOKUP(G82, Pasarela!$E$2:$F$548, 2, FALSE)</f>
        <v>15</v>
      </c>
      <c r="I82" s="2" t="s">
        <v>195</v>
      </c>
      <c r="J82" s="3" t="s">
        <v>61</v>
      </c>
    </row>
    <row r="83" ht="14.25" customHeight="1">
      <c r="A83" s="3">
        <v>5.0</v>
      </c>
      <c r="B83" s="3" t="s">
        <v>188</v>
      </c>
      <c r="C83" s="3" t="s">
        <v>189</v>
      </c>
      <c r="D83" s="5" t="str">
        <f t="shared" si="1"/>
        <v>10.1016/j.scitotenv.2023.169255</v>
      </c>
      <c r="E83" s="3" t="s">
        <v>194</v>
      </c>
      <c r="F83" s="3" t="s">
        <v>34</v>
      </c>
      <c r="G83" s="3" t="str">
        <f>VLOOKUP(F83, Pasarela!$A$1:$F$548, 5, FALSE)</f>
        <v>Supporting identities</v>
      </c>
      <c r="H83" s="3">
        <f>VLOOKUP(G83, Pasarela!$E$2:$F$548, 2, FALSE)</f>
        <v>17</v>
      </c>
      <c r="I83" s="2" t="s">
        <v>195</v>
      </c>
      <c r="J83" s="3" t="s">
        <v>61</v>
      </c>
    </row>
    <row r="84" ht="14.25" customHeight="1">
      <c r="A84" s="3">
        <v>5.0</v>
      </c>
      <c r="B84" s="3" t="s">
        <v>188</v>
      </c>
      <c r="C84" s="3" t="s">
        <v>189</v>
      </c>
      <c r="D84" s="5" t="str">
        <f t="shared" si="1"/>
        <v>10.1016/j.scitotenv.2023.169255</v>
      </c>
      <c r="E84" s="3" t="s">
        <v>196</v>
      </c>
      <c r="F84" s="3" t="s">
        <v>74</v>
      </c>
      <c r="G84" s="3" t="str">
        <f>VLOOKUP(F84, Pasarela!$A$1:$F$548, 5, FALSE)</f>
        <v>Supporting identities</v>
      </c>
      <c r="H84" s="3">
        <f>VLOOKUP(G84, Pasarela!$E$2:$F$548, 2, FALSE)</f>
        <v>17</v>
      </c>
      <c r="I84" s="2" t="s">
        <v>197</v>
      </c>
      <c r="J84" s="3" t="s">
        <v>18</v>
      </c>
    </row>
    <row r="85" ht="14.25" customHeight="1">
      <c r="A85" s="3">
        <v>1.0</v>
      </c>
      <c r="B85" s="3" t="s">
        <v>198</v>
      </c>
      <c r="C85" s="3" t="s">
        <v>199</v>
      </c>
      <c r="D85" s="5" t="str">
        <f t="shared" si="1"/>
        <v>10.3390/environments8060056</v>
      </c>
      <c r="E85" s="3" t="s">
        <v>200</v>
      </c>
      <c r="F85" s="3" t="s">
        <v>27</v>
      </c>
      <c r="G85" s="3" t="str">
        <f>VLOOKUP(F85, Pasarela!$A$1:$F$548, 5, FALSE)</f>
        <v>Physical and psychological experiences</v>
      </c>
      <c r="H85" s="3">
        <f>VLOOKUP(G85, Pasarela!$E$2:$F$548, 2, FALSE)</f>
        <v>16</v>
      </c>
      <c r="I85" s="2" t="s">
        <v>201</v>
      </c>
      <c r="J85" s="3" t="s">
        <v>18</v>
      </c>
    </row>
    <row r="86" ht="14.25" customHeight="1">
      <c r="A86" s="3">
        <v>38.0</v>
      </c>
      <c r="B86" s="3" t="s">
        <v>202</v>
      </c>
      <c r="C86" s="3" t="s">
        <v>203</v>
      </c>
      <c r="D86" s="5" t="str">
        <f t="shared" si="1"/>
        <v>10.1007/s00267-022-01728-2</v>
      </c>
      <c r="E86" s="3" t="s">
        <v>204</v>
      </c>
      <c r="F86" s="3" t="s">
        <v>16</v>
      </c>
      <c r="G86" s="3" t="str">
        <f>VLOOKUP(F86, Pasarela!$A$1:$F$548, 5, FALSE)</f>
        <v>Physical and psychological experiences</v>
      </c>
      <c r="H86" s="3">
        <f>VLOOKUP(G86, Pasarela!$E$2:$F$548, 2, FALSE)</f>
        <v>16</v>
      </c>
      <c r="I86" s="2" t="s">
        <v>205</v>
      </c>
      <c r="J86" s="3" t="s">
        <v>61</v>
      </c>
    </row>
    <row r="87" ht="14.25" customHeight="1">
      <c r="A87" s="3">
        <v>38.0</v>
      </c>
      <c r="B87" s="3" t="s">
        <v>202</v>
      </c>
      <c r="C87" s="3" t="s">
        <v>203</v>
      </c>
      <c r="D87" s="5" t="str">
        <f t="shared" si="1"/>
        <v>10.1007/s00267-022-01728-2</v>
      </c>
      <c r="E87" s="3" t="s">
        <v>204</v>
      </c>
      <c r="F87" s="3" t="s">
        <v>22</v>
      </c>
      <c r="G87" s="3" t="str">
        <f>VLOOKUP(F87, Pasarela!$A$1:$F$548, 5, FALSE)</f>
        <v>Physical and psychological experiences</v>
      </c>
      <c r="H87" s="3">
        <f>VLOOKUP(G87, Pasarela!$E$2:$F$548, 2, FALSE)</f>
        <v>16</v>
      </c>
      <c r="I87" s="2" t="s">
        <v>205</v>
      </c>
      <c r="J87" s="3" t="s">
        <v>61</v>
      </c>
    </row>
    <row r="88" ht="14.25" customHeight="1">
      <c r="A88" s="3">
        <v>38.0</v>
      </c>
      <c r="B88" s="3" t="s">
        <v>202</v>
      </c>
      <c r="C88" s="3" t="s">
        <v>203</v>
      </c>
      <c r="D88" s="5" t="str">
        <f t="shared" si="1"/>
        <v>10.1007/s00267-022-01728-2</v>
      </c>
      <c r="E88" s="3" t="s">
        <v>204</v>
      </c>
      <c r="F88" s="3" t="s">
        <v>34</v>
      </c>
      <c r="G88" s="3" t="str">
        <f>VLOOKUP(F88, Pasarela!$A$1:$F$548, 5, FALSE)</f>
        <v>Supporting identities</v>
      </c>
      <c r="H88" s="3">
        <f>VLOOKUP(G88, Pasarela!$E$2:$F$548, 2, FALSE)</f>
        <v>17</v>
      </c>
      <c r="I88" s="2" t="s">
        <v>205</v>
      </c>
      <c r="J88" s="3" t="s">
        <v>61</v>
      </c>
    </row>
    <row r="89" ht="14.25" customHeight="1">
      <c r="A89" s="3">
        <v>7.0</v>
      </c>
      <c r="B89" s="3" t="s">
        <v>206</v>
      </c>
      <c r="C89" s="3" t="s">
        <v>207</v>
      </c>
      <c r="D89" s="5" t="str">
        <f t="shared" si="1"/>
        <v>10.1016/j.jenvman.2019.109372</v>
      </c>
      <c r="E89" s="3" t="s">
        <v>26</v>
      </c>
      <c r="F89" s="3" t="s">
        <v>16</v>
      </c>
      <c r="G89" s="3" t="str">
        <f>VLOOKUP(F89, Pasarela!$A$1:$F$548, 5, FALSE)</f>
        <v>Physical and psychological experiences</v>
      </c>
      <c r="H89" s="3">
        <f>VLOOKUP(G89, Pasarela!$E$2:$F$548, 2, FALSE)</f>
        <v>16</v>
      </c>
      <c r="I89" s="2" t="s">
        <v>208</v>
      </c>
      <c r="J89" s="3" t="s">
        <v>18</v>
      </c>
    </row>
    <row r="90" ht="14.25" customHeight="1">
      <c r="A90" s="3">
        <v>31.0</v>
      </c>
      <c r="B90" s="3" t="s">
        <v>209</v>
      </c>
      <c r="C90" s="3" t="s">
        <v>210</v>
      </c>
      <c r="D90" s="5" t="str">
        <f t="shared" si="1"/>
        <v>10.3389/fmars.2024.1288112</v>
      </c>
      <c r="E90" s="3" t="s">
        <v>211</v>
      </c>
      <c r="F90" s="3" t="s">
        <v>27</v>
      </c>
      <c r="G90" s="3" t="str">
        <f>VLOOKUP(F90, Pasarela!$A$1:$F$548, 5, FALSE)</f>
        <v>Physical and psychological experiences</v>
      </c>
      <c r="H90" s="3">
        <f>VLOOKUP(G90, Pasarela!$E$2:$F$548, 2, FALSE)</f>
        <v>16</v>
      </c>
      <c r="I90" s="2" t="s">
        <v>212</v>
      </c>
      <c r="J90" s="3" t="s">
        <v>18</v>
      </c>
    </row>
    <row r="91" ht="14.25" customHeight="1">
      <c r="A91" s="3">
        <v>31.0</v>
      </c>
      <c r="B91" s="3" t="s">
        <v>209</v>
      </c>
      <c r="C91" s="3" t="s">
        <v>210</v>
      </c>
      <c r="D91" s="5" t="str">
        <f t="shared" si="1"/>
        <v>10.3389/fmars.2024.1288112</v>
      </c>
      <c r="E91" s="3" t="s">
        <v>211</v>
      </c>
      <c r="F91" s="3" t="s">
        <v>16</v>
      </c>
      <c r="G91" s="3" t="str">
        <f>VLOOKUP(F91, Pasarela!$A$1:$F$548, 5, FALSE)</f>
        <v>Physical and psychological experiences</v>
      </c>
      <c r="H91" s="3">
        <f>VLOOKUP(G91, Pasarela!$E$2:$F$548, 2, FALSE)</f>
        <v>16</v>
      </c>
      <c r="I91" s="2" t="s">
        <v>212</v>
      </c>
      <c r="J91" s="3" t="s">
        <v>18</v>
      </c>
    </row>
    <row r="92" ht="14.25" customHeight="1">
      <c r="A92" s="3">
        <v>28.0</v>
      </c>
      <c r="B92" s="3" t="s">
        <v>213</v>
      </c>
      <c r="C92" s="3" t="s">
        <v>214</v>
      </c>
      <c r="D92" s="5" t="str">
        <f t="shared" si="1"/>
        <v>10.1088/1748-9326/ac65a3</v>
      </c>
      <c r="E92" s="3" t="s">
        <v>215</v>
      </c>
      <c r="F92" s="3" t="s">
        <v>27</v>
      </c>
      <c r="G92" s="3" t="str">
        <f>VLOOKUP(F92, Pasarela!$A$1:$F$548, 5, FALSE)</f>
        <v>Physical and psychological experiences</v>
      </c>
      <c r="H92" s="3">
        <f>VLOOKUP(G92, Pasarela!$E$2:$F$548, 2, FALSE)</f>
        <v>16</v>
      </c>
      <c r="I92" s="2" t="s">
        <v>216</v>
      </c>
      <c r="J92" s="3" t="s">
        <v>18</v>
      </c>
    </row>
    <row r="93" ht="14.25" customHeight="1">
      <c r="A93" s="3">
        <v>22.0</v>
      </c>
      <c r="B93" s="3" t="s">
        <v>217</v>
      </c>
      <c r="C93" s="3" t="s">
        <v>218</v>
      </c>
      <c r="D93" s="5" t="str">
        <f t="shared" si="1"/>
        <v>10.3390/ijerph181910244</v>
      </c>
      <c r="E93" s="3" t="s">
        <v>219</v>
      </c>
      <c r="F93" s="3" t="s">
        <v>27</v>
      </c>
      <c r="G93" s="3" t="str">
        <f>VLOOKUP(F93, Pasarela!$A$1:$F$548, 5, FALSE)</f>
        <v>Physical and psychological experiences</v>
      </c>
      <c r="H93" s="3">
        <f>VLOOKUP(G93, Pasarela!$E$2:$F$548, 2, FALSE)</f>
        <v>16</v>
      </c>
      <c r="I93" s="2" t="s">
        <v>220</v>
      </c>
      <c r="J93" s="3" t="s">
        <v>18</v>
      </c>
    </row>
    <row r="94" ht="14.25" customHeight="1">
      <c r="A94" s="3">
        <v>20.0</v>
      </c>
      <c r="B94" s="3" t="s">
        <v>221</v>
      </c>
      <c r="C94" s="3" t="s">
        <v>222</v>
      </c>
      <c r="D94" s="5" t="str">
        <f t="shared" si="1"/>
        <v>10.1016/j.rse.2019.05.012</v>
      </c>
      <c r="E94" s="3" t="s">
        <v>223</v>
      </c>
      <c r="F94" s="3" t="s">
        <v>16</v>
      </c>
      <c r="G94" s="3" t="str">
        <f>VLOOKUP(F94, Pasarela!$A$1:$F$548, 5, FALSE)</f>
        <v>Physical and psychological experiences</v>
      </c>
      <c r="H94" s="3">
        <f>VLOOKUP(G94, Pasarela!$E$2:$F$548, 2, FALSE)</f>
        <v>16</v>
      </c>
      <c r="I94" s="2" t="s">
        <v>224</v>
      </c>
      <c r="J94" s="3" t="s">
        <v>18</v>
      </c>
    </row>
    <row r="95" ht="14.25" customHeight="1">
      <c r="A95" s="3">
        <v>20.0</v>
      </c>
      <c r="B95" s="3" t="s">
        <v>221</v>
      </c>
      <c r="C95" s="3" t="s">
        <v>222</v>
      </c>
      <c r="D95" s="5" t="str">
        <f t="shared" si="1"/>
        <v>10.1016/j.rse.2019.05.012</v>
      </c>
      <c r="E95" s="3" t="s">
        <v>225</v>
      </c>
      <c r="F95" s="3" t="s">
        <v>22</v>
      </c>
      <c r="G95" s="3" t="str">
        <f>VLOOKUP(F95, Pasarela!$A$1:$F$548, 5, FALSE)</f>
        <v>Physical and psychological experiences</v>
      </c>
      <c r="H95" s="3">
        <f>VLOOKUP(G95, Pasarela!$E$2:$F$548, 2, FALSE)</f>
        <v>16</v>
      </c>
      <c r="I95" s="2" t="s">
        <v>226</v>
      </c>
      <c r="J95" s="3" t="s">
        <v>18</v>
      </c>
    </row>
    <row r="96" ht="14.25" customHeight="1">
      <c r="A96" s="3">
        <v>3.0</v>
      </c>
      <c r="B96" s="3" t="s">
        <v>227</v>
      </c>
      <c r="C96" s="3" t="s">
        <v>228</v>
      </c>
      <c r="D96" s="5" t="str">
        <f t="shared" si="1"/>
        <v>10.3390/land13020125</v>
      </c>
      <c r="E96" s="3" t="s">
        <v>229</v>
      </c>
      <c r="F96" s="3" t="s">
        <v>16</v>
      </c>
      <c r="G96" s="3" t="str">
        <f>VLOOKUP(F96, Pasarela!$A$1:$F$548, 5, FALSE)</f>
        <v>Physical and psychological experiences</v>
      </c>
      <c r="H96" s="3">
        <f>VLOOKUP(G96, Pasarela!$E$2:$F$548, 2, FALSE)</f>
        <v>16</v>
      </c>
      <c r="I96" s="2" t="s">
        <v>230</v>
      </c>
      <c r="J96" s="3" t="s">
        <v>61</v>
      </c>
    </row>
    <row r="97" ht="14.25" customHeight="1">
      <c r="A97" s="3">
        <v>3.0</v>
      </c>
      <c r="B97" s="3" t="s">
        <v>227</v>
      </c>
      <c r="C97" s="3" t="s">
        <v>228</v>
      </c>
      <c r="D97" s="5" t="str">
        <f t="shared" si="1"/>
        <v>10.3390/land13020125</v>
      </c>
      <c r="E97" s="3" t="s">
        <v>229</v>
      </c>
      <c r="F97" s="3" t="s">
        <v>22</v>
      </c>
      <c r="G97" s="3" t="str">
        <f>VLOOKUP(F97, Pasarela!$A$1:$F$548, 5, FALSE)</f>
        <v>Physical and psychological experiences</v>
      </c>
      <c r="H97" s="3">
        <f>VLOOKUP(G97, Pasarela!$E$2:$F$548, 2, FALSE)</f>
        <v>16</v>
      </c>
      <c r="I97" s="2" t="s">
        <v>230</v>
      </c>
      <c r="J97" s="3" t="s">
        <v>61</v>
      </c>
    </row>
    <row r="98" ht="14.25" customHeight="1">
      <c r="A98" s="3">
        <v>3.0</v>
      </c>
      <c r="B98" s="3" t="s">
        <v>227</v>
      </c>
      <c r="C98" s="3" t="s">
        <v>228</v>
      </c>
      <c r="D98" s="5" t="str">
        <f t="shared" si="1"/>
        <v>10.3390/land13020125</v>
      </c>
      <c r="E98" s="3" t="s">
        <v>231</v>
      </c>
      <c r="F98" s="3" t="s">
        <v>59</v>
      </c>
      <c r="G98" s="3" t="str">
        <f>VLOOKUP(F98, Pasarela!$A$1:$F$548, 5, FALSE)</f>
        <v>Physical and psychological experiences</v>
      </c>
      <c r="H98" s="3">
        <f>VLOOKUP(G98, Pasarela!$E$2:$F$548, 2, FALSE)</f>
        <v>16</v>
      </c>
      <c r="I98" s="2" t="s">
        <v>232</v>
      </c>
      <c r="J98" s="3" t="s">
        <v>61</v>
      </c>
    </row>
    <row r="99" ht="14.25" customHeight="1">
      <c r="A99" s="3">
        <v>3.0</v>
      </c>
      <c r="B99" s="3" t="s">
        <v>227</v>
      </c>
      <c r="C99" s="3" t="s">
        <v>228</v>
      </c>
      <c r="D99" s="5" t="str">
        <f t="shared" si="1"/>
        <v>10.3390/land13020125</v>
      </c>
      <c r="E99" s="3" t="s">
        <v>233</v>
      </c>
      <c r="F99" s="3" t="s">
        <v>59</v>
      </c>
      <c r="G99" s="3" t="str">
        <f>VLOOKUP(F99, Pasarela!$A$1:$F$548, 5, FALSE)</f>
        <v>Physical and psychological experiences</v>
      </c>
      <c r="H99" s="3">
        <f>VLOOKUP(G99, Pasarela!$E$2:$F$548, 2, FALSE)</f>
        <v>16</v>
      </c>
      <c r="I99" s="2" t="s">
        <v>234</v>
      </c>
      <c r="J99" s="3" t="s">
        <v>61</v>
      </c>
    </row>
    <row r="100" ht="14.25" customHeight="1">
      <c r="A100" s="3">
        <v>3.0</v>
      </c>
      <c r="B100" s="3" t="s">
        <v>227</v>
      </c>
      <c r="C100" s="3" t="s">
        <v>228</v>
      </c>
      <c r="D100" s="5" t="str">
        <f t="shared" si="1"/>
        <v>10.3390/land13020125</v>
      </c>
      <c r="E100" s="3" t="s">
        <v>233</v>
      </c>
      <c r="F100" s="3" t="s">
        <v>62</v>
      </c>
      <c r="G100" s="3" t="s">
        <v>63</v>
      </c>
      <c r="H100" s="3">
        <f>VLOOKUP(G100, Pasarela!$E$2:$F$548, 2, FALSE)</f>
        <v>15</v>
      </c>
      <c r="I100" s="2" t="s">
        <v>234</v>
      </c>
      <c r="J100" s="3" t="s">
        <v>61</v>
      </c>
    </row>
    <row r="101" ht="14.25" customHeight="1">
      <c r="A101" s="3">
        <v>3.0</v>
      </c>
      <c r="B101" s="3" t="s">
        <v>227</v>
      </c>
      <c r="C101" s="3" t="s">
        <v>228</v>
      </c>
      <c r="D101" s="5" t="str">
        <f t="shared" si="1"/>
        <v>10.3390/land13020125</v>
      </c>
      <c r="E101" s="3" t="s">
        <v>235</v>
      </c>
      <c r="F101" s="3" t="s">
        <v>65</v>
      </c>
      <c r="G101" s="3" t="str">
        <f>VLOOKUP(F101, Pasarela!$A$1:$F$548, 5, FALSE)</f>
        <v>Learning and inspiration</v>
      </c>
      <c r="H101" s="3">
        <f>VLOOKUP(G101, Pasarela!$E$2:$F$548, 2, FALSE)</f>
        <v>15</v>
      </c>
      <c r="I101" s="2" t="s">
        <v>94</v>
      </c>
      <c r="J101" s="3" t="s">
        <v>61</v>
      </c>
    </row>
    <row r="102" ht="14.25" customHeight="1">
      <c r="A102" s="3">
        <v>3.0</v>
      </c>
      <c r="B102" s="3" t="s">
        <v>227</v>
      </c>
      <c r="C102" s="3" t="s">
        <v>228</v>
      </c>
      <c r="D102" s="5" t="str">
        <f t="shared" si="1"/>
        <v>10.3390/land13020125</v>
      </c>
      <c r="E102" s="3" t="s">
        <v>235</v>
      </c>
      <c r="F102" s="3" t="s">
        <v>53</v>
      </c>
      <c r="G102" s="3" t="str">
        <f>VLOOKUP(F102, Pasarela!$A$1:$F$548, 5, FALSE)</f>
        <v>Learning and inspiration</v>
      </c>
      <c r="H102" s="3">
        <f>VLOOKUP(G102, Pasarela!$E$2:$F$548, 2, FALSE)</f>
        <v>15</v>
      </c>
      <c r="I102" s="2" t="s">
        <v>94</v>
      </c>
      <c r="J102" s="3" t="s">
        <v>61</v>
      </c>
    </row>
    <row r="103" ht="14.25" customHeight="1">
      <c r="A103" s="3">
        <v>3.0</v>
      </c>
      <c r="B103" s="3" t="s">
        <v>227</v>
      </c>
      <c r="C103" s="3" t="s">
        <v>228</v>
      </c>
      <c r="D103" s="5" t="str">
        <f t="shared" si="1"/>
        <v>10.3390/land13020125</v>
      </c>
      <c r="E103" s="3" t="s">
        <v>236</v>
      </c>
      <c r="F103" s="3" t="s">
        <v>16</v>
      </c>
      <c r="G103" s="3" t="str">
        <f>VLOOKUP(F103, Pasarela!$A$1:$F$548, 5, FALSE)</f>
        <v>Physical and psychological experiences</v>
      </c>
      <c r="H103" s="3">
        <f>VLOOKUP(G103, Pasarela!$E$2:$F$548, 2, FALSE)</f>
        <v>16</v>
      </c>
      <c r="I103" s="2" t="s">
        <v>237</v>
      </c>
      <c r="J103" s="3" t="s">
        <v>61</v>
      </c>
    </row>
    <row r="104" ht="14.25" customHeight="1">
      <c r="A104" s="3">
        <v>3.0</v>
      </c>
      <c r="B104" s="3" t="s">
        <v>227</v>
      </c>
      <c r="C104" s="3" t="s">
        <v>228</v>
      </c>
      <c r="D104" s="5" t="str">
        <f t="shared" si="1"/>
        <v>10.3390/land13020125</v>
      </c>
      <c r="E104" s="3" t="s">
        <v>236</v>
      </c>
      <c r="F104" s="3" t="s">
        <v>22</v>
      </c>
      <c r="G104" s="3" t="str">
        <f>VLOOKUP(F104, Pasarela!$A$1:$F$548, 5, FALSE)</f>
        <v>Physical and psychological experiences</v>
      </c>
      <c r="H104" s="3">
        <f>VLOOKUP(G104, Pasarela!$E$2:$F$548, 2, FALSE)</f>
        <v>16</v>
      </c>
      <c r="I104" s="2" t="s">
        <v>237</v>
      </c>
      <c r="J104" s="3" t="s">
        <v>61</v>
      </c>
    </row>
    <row r="105" ht="14.25" customHeight="1">
      <c r="A105" s="3">
        <v>3.0</v>
      </c>
      <c r="B105" s="3" t="s">
        <v>227</v>
      </c>
      <c r="C105" s="3" t="s">
        <v>228</v>
      </c>
      <c r="D105" s="5" t="str">
        <f t="shared" si="1"/>
        <v>10.3390/land13020125</v>
      </c>
      <c r="E105" s="3" t="s">
        <v>236</v>
      </c>
      <c r="F105" s="3" t="s">
        <v>34</v>
      </c>
      <c r="G105" s="3" t="str">
        <f>VLOOKUP(F105, Pasarela!$A$1:$F$548, 5, FALSE)</f>
        <v>Supporting identities</v>
      </c>
      <c r="H105" s="3">
        <f>VLOOKUP(G105, Pasarela!$E$2:$F$548, 2, FALSE)</f>
        <v>17</v>
      </c>
      <c r="I105" s="2" t="s">
        <v>237</v>
      </c>
      <c r="J105" s="3" t="s">
        <v>61</v>
      </c>
    </row>
    <row r="106" ht="14.25" customHeight="1">
      <c r="A106" s="3">
        <v>3.0</v>
      </c>
      <c r="B106" s="3" t="s">
        <v>227</v>
      </c>
      <c r="C106" s="3" t="s">
        <v>228</v>
      </c>
      <c r="D106" s="5" t="str">
        <f t="shared" si="1"/>
        <v>10.3390/land13020125</v>
      </c>
      <c r="E106" s="3" t="s">
        <v>238</v>
      </c>
      <c r="F106" s="3" t="s">
        <v>27</v>
      </c>
      <c r="G106" s="3" t="str">
        <f>VLOOKUP(F106, Pasarela!$A$1:$F$548, 5, FALSE)</f>
        <v>Physical and psychological experiences</v>
      </c>
      <c r="H106" s="3">
        <f>VLOOKUP(G106, Pasarela!$E$2:$F$548, 2, FALSE)</f>
        <v>16</v>
      </c>
      <c r="I106" s="2" t="s">
        <v>239</v>
      </c>
      <c r="J106" s="3" t="s">
        <v>18</v>
      </c>
    </row>
    <row r="107" ht="14.25" customHeight="1">
      <c r="A107" s="3">
        <v>9.0</v>
      </c>
      <c r="B107" s="3" t="s">
        <v>240</v>
      </c>
      <c r="C107" s="3" t="s">
        <v>241</v>
      </c>
      <c r="D107" s="5" t="str">
        <f t="shared" si="1"/>
        <v>10.3390/land11050715</v>
      </c>
      <c r="E107" s="3" t="s">
        <v>242</v>
      </c>
      <c r="F107" s="3" t="s">
        <v>34</v>
      </c>
      <c r="G107" s="3" t="str">
        <f>VLOOKUP(F107, Pasarela!$A$1:$F$548, 5, FALSE)</f>
        <v>Supporting identities</v>
      </c>
      <c r="H107" s="3">
        <f>VLOOKUP(G107, Pasarela!$E$2:$F$548, 2, FALSE)</f>
        <v>17</v>
      </c>
      <c r="I107" s="2" t="s">
        <v>243</v>
      </c>
      <c r="J107" s="3" t="s">
        <v>18</v>
      </c>
    </row>
    <row r="108" ht="14.25" customHeight="1">
      <c r="A108" s="3">
        <v>9.0</v>
      </c>
      <c r="B108" s="3" t="s">
        <v>240</v>
      </c>
      <c r="C108" s="3" t="s">
        <v>241</v>
      </c>
      <c r="D108" s="5" t="str">
        <f t="shared" si="1"/>
        <v>10.3390/land11050715</v>
      </c>
      <c r="E108" s="3" t="s">
        <v>244</v>
      </c>
      <c r="F108" s="3" t="s">
        <v>27</v>
      </c>
      <c r="G108" s="3" t="str">
        <f>VLOOKUP(F108, Pasarela!$A$1:$F$548, 5, FALSE)</f>
        <v>Physical and psychological experiences</v>
      </c>
      <c r="H108" s="3">
        <f>VLOOKUP(G108, Pasarela!$E$2:$F$548, 2, FALSE)</f>
        <v>16</v>
      </c>
      <c r="I108" s="2" t="s">
        <v>245</v>
      </c>
      <c r="J108" s="3" t="s">
        <v>18</v>
      </c>
    </row>
    <row r="109" ht="14.25" customHeight="1">
      <c r="A109" s="3">
        <v>43.0</v>
      </c>
      <c r="B109" s="3" t="s">
        <v>246</v>
      </c>
      <c r="C109" s="3" t="s">
        <v>247</v>
      </c>
      <c r="D109" s="5" t="str">
        <f t="shared" si="1"/>
        <v>10.3390/land8050073</v>
      </c>
      <c r="E109" s="3" t="s">
        <v>248</v>
      </c>
      <c r="F109" s="3" t="s">
        <v>27</v>
      </c>
      <c r="G109" s="3" t="str">
        <f>VLOOKUP(F109, Pasarela!$A$1:$F$548, 5, FALSE)</f>
        <v>Physical and psychological experiences</v>
      </c>
      <c r="H109" s="3">
        <f>VLOOKUP(G109, Pasarela!$E$2:$F$548, 2, FALSE)</f>
        <v>16</v>
      </c>
      <c r="I109" s="2" t="s">
        <v>249</v>
      </c>
      <c r="J109" s="3" t="s">
        <v>18</v>
      </c>
    </row>
    <row r="110" ht="14.25" customHeight="1">
      <c r="A110" s="3">
        <v>34.0</v>
      </c>
      <c r="B110" s="3" t="s">
        <v>250</v>
      </c>
      <c r="C110" s="3" t="s">
        <v>251</v>
      </c>
      <c r="D110" s="5" t="str">
        <f t="shared" si="1"/>
        <v>10.1016/j.tourman.2018.10.018</v>
      </c>
      <c r="E110" s="3" t="s">
        <v>219</v>
      </c>
      <c r="F110" s="3" t="s">
        <v>27</v>
      </c>
      <c r="G110" s="3" t="str">
        <f>VLOOKUP(F110, Pasarela!$A$1:$F$548, 5, FALSE)</f>
        <v>Physical and psychological experiences</v>
      </c>
      <c r="H110" s="3">
        <f>VLOOKUP(G110, Pasarela!$E$2:$F$548, 2, FALSE)</f>
        <v>16</v>
      </c>
      <c r="I110" s="2" t="s">
        <v>252</v>
      </c>
      <c r="J110" s="3" t="s">
        <v>18</v>
      </c>
    </row>
    <row r="111" ht="14.25" customHeight="1">
      <c r="A111" s="3">
        <v>30.0</v>
      </c>
      <c r="B111" s="3" t="s">
        <v>253</v>
      </c>
      <c r="C111" s="3" t="s">
        <v>254</v>
      </c>
      <c r="D111" s="5" t="str">
        <f t="shared" si="1"/>
        <v>10.1016/j.marpol.2023.105533</v>
      </c>
      <c r="E111" s="3" t="s">
        <v>47</v>
      </c>
      <c r="F111" s="3" t="s">
        <v>16</v>
      </c>
      <c r="G111" s="3" t="str">
        <f>VLOOKUP(F111, Pasarela!$A$1:$F$548, 5, FALSE)</f>
        <v>Physical and psychological experiences</v>
      </c>
      <c r="H111" s="3">
        <f>VLOOKUP(G111, Pasarela!$E$2:$F$548, 2, FALSE)</f>
        <v>16</v>
      </c>
      <c r="I111" s="2" t="s">
        <v>255</v>
      </c>
      <c r="J111" s="3" t="s">
        <v>18</v>
      </c>
    </row>
    <row r="112" ht="14.25" customHeight="1">
      <c r="A112" s="3">
        <v>30.0</v>
      </c>
      <c r="B112" s="3" t="s">
        <v>253</v>
      </c>
      <c r="C112" s="3" t="s">
        <v>254</v>
      </c>
      <c r="D112" s="5" t="str">
        <f t="shared" si="1"/>
        <v>10.1016/j.marpol.2023.105533</v>
      </c>
      <c r="E112" s="3" t="s">
        <v>256</v>
      </c>
      <c r="F112" s="3" t="s">
        <v>34</v>
      </c>
      <c r="G112" s="3" t="str">
        <f>VLOOKUP(F112, Pasarela!$A$1:$F$548, 5, FALSE)</f>
        <v>Supporting identities</v>
      </c>
      <c r="H112" s="3">
        <f>VLOOKUP(G112, Pasarela!$E$2:$F$548, 2, FALSE)</f>
        <v>17</v>
      </c>
      <c r="I112" s="2" t="s">
        <v>257</v>
      </c>
      <c r="J112" s="3" t="s">
        <v>18</v>
      </c>
    </row>
    <row r="113" ht="14.25" customHeight="1">
      <c r="A113" s="3">
        <v>30.0</v>
      </c>
      <c r="B113" s="3" t="s">
        <v>253</v>
      </c>
      <c r="C113" s="3" t="s">
        <v>254</v>
      </c>
      <c r="D113" s="5" t="str">
        <f t="shared" si="1"/>
        <v>10.1016/j.marpol.2023.105533</v>
      </c>
      <c r="E113" s="3" t="s">
        <v>258</v>
      </c>
      <c r="F113" s="3" t="s">
        <v>53</v>
      </c>
      <c r="G113" s="3" t="str">
        <f>VLOOKUP(F113, Pasarela!$A$1:$F$548, 5, FALSE)</f>
        <v>Learning and inspiration</v>
      </c>
      <c r="H113" s="3">
        <f>VLOOKUP(G113, Pasarela!$E$2:$F$548, 2, FALSE)</f>
        <v>15</v>
      </c>
      <c r="I113" s="2" t="s">
        <v>259</v>
      </c>
      <c r="J113" s="3" t="s">
        <v>18</v>
      </c>
    </row>
    <row r="114" ht="14.25" customHeight="1">
      <c r="A114" s="3">
        <v>30.0</v>
      </c>
      <c r="B114" s="3" t="s">
        <v>253</v>
      </c>
      <c r="C114" s="3" t="s">
        <v>254</v>
      </c>
      <c r="D114" s="5" t="str">
        <f t="shared" si="1"/>
        <v>10.1016/j.marpol.2023.105533</v>
      </c>
      <c r="E114" s="3" t="s">
        <v>260</v>
      </c>
      <c r="F114" s="3" t="s">
        <v>59</v>
      </c>
      <c r="G114" s="3" t="str">
        <f>VLOOKUP(F114, Pasarela!$A$1:$F$548, 5, FALSE)</f>
        <v>Physical and psychological experiences</v>
      </c>
      <c r="H114" s="3">
        <f>VLOOKUP(G114, Pasarela!$E$2:$F$548, 2, FALSE)</f>
        <v>16</v>
      </c>
      <c r="I114" s="2" t="s">
        <v>261</v>
      </c>
      <c r="J114" s="3" t="s">
        <v>61</v>
      </c>
    </row>
    <row r="115" ht="14.25" customHeight="1">
      <c r="A115" s="3">
        <v>30.0</v>
      </c>
      <c r="B115" s="3" t="s">
        <v>253</v>
      </c>
      <c r="C115" s="3" t="s">
        <v>254</v>
      </c>
      <c r="D115" s="5" t="str">
        <f t="shared" si="1"/>
        <v>10.1016/j.marpol.2023.105533</v>
      </c>
      <c r="E115" s="3" t="s">
        <v>260</v>
      </c>
      <c r="F115" s="3" t="s">
        <v>62</v>
      </c>
      <c r="G115" s="3" t="s">
        <v>63</v>
      </c>
      <c r="H115" s="3">
        <f>VLOOKUP(G115, Pasarela!$E$2:$F$548, 2, FALSE)</f>
        <v>15</v>
      </c>
      <c r="I115" s="2" t="s">
        <v>261</v>
      </c>
      <c r="J115" s="3" t="s">
        <v>61</v>
      </c>
    </row>
    <row r="116" ht="14.25" customHeight="1">
      <c r="A116" s="3">
        <v>30.0</v>
      </c>
      <c r="B116" s="3" t="s">
        <v>253</v>
      </c>
      <c r="C116" s="3" t="s">
        <v>254</v>
      </c>
      <c r="D116" s="5" t="str">
        <f t="shared" si="1"/>
        <v>10.1016/j.marpol.2023.105533</v>
      </c>
      <c r="E116" s="3" t="s">
        <v>262</v>
      </c>
      <c r="F116" s="3" t="s">
        <v>27</v>
      </c>
      <c r="G116" s="3" t="str">
        <f>VLOOKUP(F116, Pasarela!$A$1:$F$548, 5, FALSE)</f>
        <v>Physical and psychological experiences</v>
      </c>
      <c r="H116" s="3">
        <f>VLOOKUP(G116, Pasarela!$E$2:$F$548, 2, FALSE)</f>
        <v>16</v>
      </c>
      <c r="I116" s="2" t="s">
        <v>263</v>
      </c>
      <c r="J116" s="3" t="s">
        <v>18</v>
      </c>
    </row>
    <row r="117" ht="14.25" customHeight="1">
      <c r="A117" s="3">
        <v>30.0</v>
      </c>
      <c r="B117" s="3" t="s">
        <v>253</v>
      </c>
      <c r="C117" s="3" t="s">
        <v>254</v>
      </c>
      <c r="D117" s="5" t="str">
        <f t="shared" si="1"/>
        <v>10.1016/j.marpol.2023.105533</v>
      </c>
      <c r="E117" s="3" t="s">
        <v>264</v>
      </c>
      <c r="F117" s="3" t="s">
        <v>265</v>
      </c>
      <c r="G117" s="3" t="str">
        <f>VLOOKUP(F117, Pasarela!$A$1:$F$548, 5, FALSE)</f>
        <v>Supporting identities</v>
      </c>
      <c r="H117" s="3">
        <f>VLOOKUP(G117, Pasarela!$E$2:$F$548, 2, FALSE)</f>
        <v>17</v>
      </c>
      <c r="I117" s="2" t="s">
        <v>266</v>
      </c>
      <c r="J117" s="3" t="s">
        <v>18</v>
      </c>
    </row>
    <row r="118" ht="14.25" customHeight="1">
      <c r="A118" s="3">
        <v>30.0</v>
      </c>
      <c r="B118" s="3" t="s">
        <v>253</v>
      </c>
      <c r="C118" s="3" t="s">
        <v>254</v>
      </c>
      <c r="D118" s="5" t="str">
        <f t="shared" si="1"/>
        <v>10.1016/j.marpol.2023.105533</v>
      </c>
      <c r="E118" s="3" t="s">
        <v>267</v>
      </c>
      <c r="F118" s="3" t="s">
        <v>70</v>
      </c>
      <c r="G118" s="3" t="s">
        <v>71</v>
      </c>
      <c r="H118" s="3">
        <f>VLOOKUP(G118, Pasarela!$E$2:$F$548, 2, FALSE)</f>
        <v>17</v>
      </c>
      <c r="I118" s="2" t="s">
        <v>268</v>
      </c>
      <c r="J118" s="3" t="s">
        <v>18</v>
      </c>
    </row>
    <row r="119" ht="14.25" customHeight="1">
      <c r="A119" s="3">
        <v>30.0</v>
      </c>
      <c r="B119" s="3" t="s">
        <v>253</v>
      </c>
      <c r="C119" s="3" t="s">
        <v>254</v>
      </c>
      <c r="D119" s="5" t="str">
        <f t="shared" si="1"/>
        <v>10.1016/j.marpol.2023.105533</v>
      </c>
      <c r="E119" s="3" t="s">
        <v>73</v>
      </c>
      <c r="F119" s="3" t="s">
        <v>74</v>
      </c>
      <c r="G119" s="3" t="str">
        <f>VLOOKUP(F119, Pasarela!$A$1:$F$548, 5, FALSE)</f>
        <v>Supporting identities</v>
      </c>
      <c r="H119" s="3">
        <f>VLOOKUP(G119, Pasarela!$E$2:$F$548, 2, FALSE)</f>
        <v>17</v>
      </c>
      <c r="I119" s="2" t="s">
        <v>269</v>
      </c>
      <c r="J119" s="3" t="s">
        <v>18</v>
      </c>
    </row>
    <row r="120" ht="14.25" customHeight="1">
      <c r="A120" s="3">
        <v>8.0</v>
      </c>
      <c r="B120" s="3" t="s">
        <v>270</v>
      </c>
      <c r="C120" s="3" t="s">
        <v>271</v>
      </c>
      <c r="D120" s="5" t="str">
        <f t="shared" si="1"/>
        <v>10.3832/ifor2821-011</v>
      </c>
      <c r="E120" s="3" t="s">
        <v>272</v>
      </c>
      <c r="F120" s="3" t="s">
        <v>16</v>
      </c>
      <c r="G120" s="3" t="str">
        <f>VLOOKUP(F120, Pasarela!$A$1:$F$548, 5, FALSE)</f>
        <v>Physical and psychological experiences</v>
      </c>
      <c r="H120" s="3">
        <f>VLOOKUP(G120, Pasarela!$E$2:$F$548, 2, FALSE)</f>
        <v>16</v>
      </c>
      <c r="I120" s="2" t="s">
        <v>273</v>
      </c>
      <c r="J120" s="3" t="s">
        <v>18</v>
      </c>
    </row>
    <row r="121" ht="14.25" customHeight="1">
      <c r="A121" s="3">
        <v>46.0</v>
      </c>
      <c r="B121" s="3" t="s">
        <v>274</v>
      </c>
      <c r="C121" s="3" t="s">
        <v>275</v>
      </c>
      <c r="D121" s="5" t="str">
        <f t="shared" si="1"/>
        <v>10.1016/j.apgeog.2023.102992</v>
      </c>
      <c r="E121" s="3" t="s">
        <v>276</v>
      </c>
      <c r="F121" s="3" t="s">
        <v>16</v>
      </c>
      <c r="G121" s="3" t="str">
        <f>VLOOKUP(F121, Pasarela!$A$1:$F$548, 5, FALSE)</f>
        <v>Physical and psychological experiences</v>
      </c>
      <c r="H121" s="3">
        <f>VLOOKUP(G121, Pasarela!$E$2:$F$548, 2, FALSE)</f>
        <v>16</v>
      </c>
      <c r="I121" s="2" t="s">
        <v>277</v>
      </c>
      <c r="J121" s="3" t="s">
        <v>61</v>
      </c>
    </row>
    <row r="122" ht="14.25" customHeight="1">
      <c r="A122" s="3">
        <v>46.0</v>
      </c>
      <c r="B122" s="3" t="s">
        <v>274</v>
      </c>
      <c r="C122" s="3" t="s">
        <v>275</v>
      </c>
      <c r="D122" s="5" t="str">
        <f t="shared" si="1"/>
        <v>10.1016/j.apgeog.2023.102992</v>
      </c>
      <c r="E122" s="3" t="s">
        <v>276</v>
      </c>
      <c r="F122" s="3" t="s">
        <v>22</v>
      </c>
      <c r="G122" s="3" t="str">
        <f>VLOOKUP(F122, Pasarela!$A$1:$F$548, 5, FALSE)</f>
        <v>Physical and psychological experiences</v>
      </c>
      <c r="H122" s="3">
        <f>VLOOKUP(G122, Pasarela!$E$2:$F$548, 2, FALSE)</f>
        <v>16</v>
      </c>
      <c r="I122" s="2" t="s">
        <v>277</v>
      </c>
      <c r="J122" s="3" t="s">
        <v>61</v>
      </c>
    </row>
    <row r="123" ht="14.25" customHeight="1">
      <c r="A123" s="3">
        <v>46.0</v>
      </c>
      <c r="B123" s="3" t="s">
        <v>274</v>
      </c>
      <c r="C123" s="3" t="s">
        <v>275</v>
      </c>
      <c r="D123" s="5" t="str">
        <f t="shared" si="1"/>
        <v>10.1016/j.apgeog.2023.102992</v>
      </c>
      <c r="E123" s="3" t="s">
        <v>278</v>
      </c>
      <c r="F123" s="3" t="s">
        <v>34</v>
      </c>
      <c r="G123" s="3" t="str">
        <f>VLOOKUP(F123, Pasarela!$A$1:$F$548, 5, FALSE)</f>
        <v>Supporting identities</v>
      </c>
      <c r="H123" s="3">
        <f>VLOOKUP(G123, Pasarela!$E$2:$F$548, 2, FALSE)</f>
        <v>17</v>
      </c>
      <c r="I123" s="2" t="s">
        <v>279</v>
      </c>
      <c r="J123" s="3" t="s">
        <v>18</v>
      </c>
    </row>
    <row r="124" ht="14.25" customHeight="1">
      <c r="A124" s="3">
        <v>46.0</v>
      </c>
      <c r="B124" s="3" t="s">
        <v>274</v>
      </c>
      <c r="C124" s="3" t="s">
        <v>275</v>
      </c>
      <c r="D124" s="5" t="str">
        <f t="shared" si="1"/>
        <v>10.1016/j.apgeog.2023.102992</v>
      </c>
      <c r="E124" s="3" t="s">
        <v>280</v>
      </c>
      <c r="F124" s="3" t="s">
        <v>27</v>
      </c>
      <c r="G124" s="3" t="str">
        <f>VLOOKUP(F124, Pasarela!$A$1:$F$548, 5, FALSE)</f>
        <v>Physical and psychological experiences</v>
      </c>
      <c r="H124" s="3">
        <f>VLOOKUP(G124, Pasarela!$E$2:$F$548, 2, FALSE)</f>
        <v>16</v>
      </c>
      <c r="I124" s="2" t="s">
        <v>281</v>
      </c>
      <c r="J124" s="3" t="s">
        <v>61</v>
      </c>
    </row>
    <row r="125" ht="14.25" customHeight="1">
      <c r="A125" s="3">
        <v>46.0</v>
      </c>
      <c r="B125" s="3" t="s">
        <v>274</v>
      </c>
      <c r="C125" s="3" t="s">
        <v>275</v>
      </c>
      <c r="D125" s="5" t="str">
        <f t="shared" si="1"/>
        <v>10.1016/j.apgeog.2023.102992</v>
      </c>
      <c r="E125" s="3" t="s">
        <v>280</v>
      </c>
      <c r="F125" s="3" t="s">
        <v>62</v>
      </c>
      <c r="G125" s="3" t="str">
        <f>VLOOKUP(F125, Pasarela!$A$1:$F$548, 5, FALSE)</f>
        <v>Learning and inspiration</v>
      </c>
      <c r="H125" s="3">
        <f>VLOOKUP(G125, Pasarela!$E$2:$F$548, 2, FALSE)</f>
        <v>15</v>
      </c>
      <c r="I125" s="2" t="s">
        <v>281</v>
      </c>
      <c r="J125" s="3" t="s">
        <v>61</v>
      </c>
    </row>
    <row r="126" ht="14.25" customHeight="1">
      <c r="A126" s="3">
        <v>18.0</v>
      </c>
      <c r="B126" s="3" t="s">
        <v>282</v>
      </c>
      <c r="C126" s="3" t="s">
        <v>283</v>
      </c>
      <c r="D126" s="5" t="str">
        <f t="shared" si="1"/>
        <v>10.1016/j.apgeog.2017.11.004</v>
      </c>
      <c r="E126" s="3" t="s">
        <v>284</v>
      </c>
      <c r="F126" s="3" t="s">
        <v>27</v>
      </c>
      <c r="G126" s="3" t="str">
        <f>VLOOKUP(F126, Pasarela!$A$1:$F$548, 5, FALSE)</f>
        <v>Physical and psychological experiences</v>
      </c>
      <c r="H126" s="3">
        <f>VLOOKUP(G126, Pasarela!$E$2:$F$548, 2, FALSE)</f>
        <v>16</v>
      </c>
      <c r="I126" s="2" t="s">
        <v>285</v>
      </c>
      <c r="J126" s="3" t="s">
        <v>286</v>
      </c>
    </row>
    <row r="127" ht="14.25" customHeight="1">
      <c r="A127" s="3">
        <v>23.0</v>
      </c>
      <c r="B127" s="3" t="s">
        <v>287</v>
      </c>
      <c r="C127" s="3" t="s">
        <v>288</v>
      </c>
      <c r="D127" s="5" t="str">
        <f t="shared" si="1"/>
        <v>10.1007/s12371-022-00665-0</v>
      </c>
      <c r="E127" s="3" t="s">
        <v>27</v>
      </c>
      <c r="F127" s="3" t="s">
        <v>27</v>
      </c>
      <c r="G127" s="3" t="str">
        <f>VLOOKUP(F127, Pasarela!$A$1:$F$548, 5, FALSE)</f>
        <v>Physical and psychological experiences</v>
      </c>
      <c r="H127" s="3">
        <f>VLOOKUP(G127, Pasarela!$E$2:$F$548, 2, FALSE)</f>
        <v>16</v>
      </c>
      <c r="I127" s="2" t="s">
        <v>289</v>
      </c>
      <c r="J127" s="3" t="s">
        <v>18</v>
      </c>
    </row>
    <row r="128" ht="14.25" customHeight="1">
      <c r="A128" s="3">
        <v>29.0</v>
      </c>
      <c r="B128" s="3" t="s">
        <v>290</v>
      </c>
      <c r="C128" s="3" t="s">
        <v>291</v>
      </c>
      <c r="D128" s="5" t="str">
        <f t="shared" si="1"/>
        <v>10.1007/s10668-020-00692-3</v>
      </c>
      <c r="E128" s="3" t="s">
        <v>99</v>
      </c>
      <c r="F128" s="3" t="s">
        <v>16</v>
      </c>
      <c r="G128" s="3" t="str">
        <f>VLOOKUP(F128, Pasarela!$A$1:$F$548, 5, FALSE)</f>
        <v>Physical and psychological experiences</v>
      </c>
      <c r="H128" s="3">
        <f>VLOOKUP(G128, Pasarela!$E$2:$F$548, 2, FALSE)</f>
        <v>16</v>
      </c>
      <c r="I128" s="2" t="s">
        <v>292</v>
      </c>
      <c r="J128" s="3" t="s">
        <v>18</v>
      </c>
    </row>
    <row r="129" ht="14.25" customHeight="1">
      <c r="A129" s="3">
        <v>29.0</v>
      </c>
      <c r="B129" s="3" t="s">
        <v>290</v>
      </c>
      <c r="C129" s="3" t="s">
        <v>291</v>
      </c>
      <c r="D129" s="5" t="str">
        <f t="shared" si="1"/>
        <v>10.1007/s10668-020-00692-3</v>
      </c>
      <c r="E129" s="3" t="s">
        <v>34</v>
      </c>
      <c r="F129" s="3" t="s">
        <v>34</v>
      </c>
      <c r="G129" s="3" t="str">
        <f>VLOOKUP(F129, Pasarela!$A$1:$F$548, 5, FALSE)</f>
        <v>Supporting identities</v>
      </c>
      <c r="H129" s="3">
        <f>VLOOKUP(G129, Pasarela!$E$2:$F$548, 2, FALSE)</f>
        <v>17</v>
      </c>
      <c r="I129" s="2" t="s">
        <v>293</v>
      </c>
      <c r="J129" s="3" t="s">
        <v>18</v>
      </c>
    </row>
    <row r="130" ht="14.25" customHeight="1">
      <c r="A130" s="3">
        <v>29.0</v>
      </c>
      <c r="B130" s="3" t="s">
        <v>290</v>
      </c>
      <c r="C130" s="3" t="s">
        <v>291</v>
      </c>
      <c r="D130" s="5" t="str">
        <f t="shared" si="1"/>
        <v>10.1007/s10668-020-00692-3</v>
      </c>
      <c r="E130" s="3" t="s">
        <v>107</v>
      </c>
      <c r="F130" s="3" t="s">
        <v>27</v>
      </c>
      <c r="G130" s="3" t="str">
        <f>VLOOKUP(F130, Pasarela!$A$1:$F$548, 5, FALSE)</f>
        <v>Physical and psychological experiences</v>
      </c>
      <c r="H130" s="3">
        <f>VLOOKUP(G130, Pasarela!$E$2:$F$548, 2, FALSE)</f>
        <v>16</v>
      </c>
      <c r="I130" s="2" t="s">
        <v>294</v>
      </c>
      <c r="J130" s="3" t="s">
        <v>18</v>
      </c>
    </row>
    <row r="131" ht="14.25" customHeight="1">
      <c r="A131" s="3">
        <v>29.0</v>
      </c>
      <c r="B131" s="3" t="s">
        <v>290</v>
      </c>
      <c r="C131" s="3" t="s">
        <v>291</v>
      </c>
      <c r="D131" s="5" t="str">
        <f t="shared" si="1"/>
        <v>10.1007/s10668-020-00692-3</v>
      </c>
      <c r="E131" s="3" t="s">
        <v>295</v>
      </c>
      <c r="F131" s="3" t="s">
        <v>74</v>
      </c>
      <c r="G131" s="3" t="str">
        <f>VLOOKUP(F131, Pasarela!$A$1:$F$548, 5, FALSE)</f>
        <v>Supporting identities</v>
      </c>
      <c r="H131" s="3">
        <f>VLOOKUP(G131, Pasarela!$E$2:$F$548, 2, FALSE)</f>
        <v>17</v>
      </c>
      <c r="I131" s="2" t="s">
        <v>296</v>
      </c>
      <c r="J131" s="3" t="s">
        <v>18</v>
      </c>
    </row>
    <row r="132" ht="14.25" customHeight="1">
      <c r="A132" s="3">
        <v>2.0</v>
      </c>
      <c r="B132" s="3" t="s">
        <v>297</v>
      </c>
      <c r="C132" s="3" t="s">
        <v>298</v>
      </c>
      <c r="D132" s="5" t="str">
        <f t="shared" si="1"/>
        <v>10.3390/su13052427</v>
      </c>
      <c r="E132" s="3" t="s">
        <v>248</v>
      </c>
      <c r="F132" s="3" t="s">
        <v>27</v>
      </c>
      <c r="G132" s="3" t="str">
        <f>VLOOKUP(F132, Pasarela!$A$1:$F$548, 5, FALSE)</f>
        <v>Physical and psychological experiences</v>
      </c>
      <c r="H132" s="3">
        <f>VLOOKUP(G132, Pasarela!$E$2:$F$548, 2, FALSE)</f>
        <v>16</v>
      </c>
      <c r="I132" s="2" t="s">
        <v>299</v>
      </c>
      <c r="J132" s="3" t="s">
        <v>286</v>
      </c>
    </row>
    <row r="133" ht="14.25" customHeight="1">
      <c r="A133" s="3">
        <v>26.0</v>
      </c>
      <c r="B133" s="3" t="s">
        <v>300</v>
      </c>
      <c r="C133" s="3" t="s">
        <v>301</v>
      </c>
      <c r="D133" s="5" t="str">
        <f t="shared" si="1"/>
        <v>10.1016/j.jort.2023.100705</v>
      </c>
      <c r="E133" s="3" t="s">
        <v>99</v>
      </c>
      <c r="F133" s="3" t="s">
        <v>16</v>
      </c>
      <c r="G133" s="3" t="str">
        <f>VLOOKUP(F133, Pasarela!$A$1:$F$548, 5, FALSE)</f>
        <v>Physical and psychological experiences</v>
      </c>
      <c r="H133" s="3">
        <f>VLOOKUP(G133, Pasarela!$E$2:$F$548, 2, FALSE)</f>
        <v>16</v>
      </c>
      <c r="I133" s="2" t="s">
        <v>302</v>
      </c>
      <c r="J133" s="3" t="s">
        <v>18</v>
      </c>
    </row>
    <row r="134" ht="14.25" customHeight="1">
      <c r="A134" s="3">
        <v>26.0</v>
      </c>
      <c r="B134" s="3" t="s">
        <v>300</v>
      </c>
      <c r="C134" s="3" t="s">
        <v>301</v>
      </c>
      <c r="D134" s="5" t="str">
        <f t="shared" si="1"/>
        <v>10.1016/j.jort.2023.100705</v>
      </c>
      <c r="E134" s="3" t="s">
        <v>303</v>
      </c>
      <c r="F134" s="3" t="s">
        <v>34</v>
      </c>
      <c r="G134" s="3" t="str">
        <f>VLOOKUP(F134, Pasarela!$A$1:$F$548, 5, FALSE)</f>
        <v>Supporting identities</v>
      </c>
      <c r="H134" s="3">
        <f>VLOOKUP(G134, Pasarela!$E$2:$F$548, 2, FALSE)</f>
        <v>17</v>
      </c>
      <c r="I134" s="2" t="s">
        <v>304</v>
      </c>
      <c r="J134" s="3" t="s">
        <v>18</v>
      </c>
    </row>
    <row r="135" ht="14.25" customHeight="1">
      <c r="A135" s="3">
        <v>26.0</v>
      </c>
      <c r="B135" s="3" t="s">
        <v>300</v>
      </c>
      <c r="C135" s="3" t="s">
        <v>301</v>
      </c>
      <c r="D135" s="5" t="str">
        <f t="shared" si="1"/>
        <v>10.1016/j.jort.2023.100705</v>
      </c>
      <c r="E135" s="3" t="s">
        <v>305</v>
      </c>
      <c r="F135" s="3" t="s">
        <v>27</v>
      </c>
      <c r="G135" s="3" t="str">
        <f>VLOOKUP(F135, Pasarela!$A$1:$F$548, 5, FALSE)</f>
        <v>Physical and psychological experiences</v>
      </c>
      <c r="H135" s="3">
        <f>VLOOKUP(G135, Pasarela!$E$2:$F$548, 2, FALSE)</f>
        <v>16</v>
      </c>
      <c r="I135" s="2" t="s">
        <v>306</v>
      </c>
      <c r="J135" s="3" t="s">
        <v>18</v>
      </c>
    </row>
    <row r="136" ht="14.25" customHeight="1">
      <c r="A136" s="3">
        <v>42.0</v>
      </c>
      <c r="B136" s="3" t="s">
        <v>307</v>
      </c>
      <c r="C136" s="3" t="s">
        <v>308</v>
      </c>
      <c r="D136" s="5" t="str">
        <f t="shared" si="1"/>
        <v>10.1371/journal.pone.0162372</v>
      </c>
      <c r="E136" s="3" t="s">
        <v>309</v>
      </c>
      <c r="F136" s="3" t="s">
        <v>27</v>
      </c>
      <c r="G136" s="3" t="str">
        <f>VLOOKUP(F136, Pasarela!$A$1:$F$548, 5, FALSE)</f>
        <v>Physical and psychological experiences</v>
      </c>
      <c r="H136" s="3">
        <f>VLOOKUP(G136, Pasarela!$E$2:$F$548, 2, FALSE)</f>
        <v>16</v>
      </c>
      <c r="I136" s="2" t="s">
        <v>310</v>
      </c>
      <c r="J136" s="3" t="s">
        <v>18</v>
      </c>
    </row>
    <row r="137" ht="14.25" customHeight="1">
      <c r="A137" s="3">
        <v>39.0</v>
      </c>
      <c r="B137" s="3" t="s">
        <v>311</v>
      </c>
      <c r="C137" s="3" t="s">
        <v>312</v>
      </c>
      <c r="D137" s="5" t="str">
        <f t="shared" si="1"/>
        <v>10.1038/s41598-021-99282-0</v>
      </c>
      <c r="E137" s="3" t="s">
        <v>313</v>
      </c>
      <c r="F137" s="3" t="s">
        <v>16</v>
      </c>
      <c r="G137" s="3" t="str">
        <f>VLOOKUP(F137, Pasarela!$A$1:$F$548, 5, FALSE)</f>
        <v>Physical and psychological experiences</v>
      </c>
      <c r="H137" s="3">
        <f>VLOOKUP(G137, Pasarela!$E$2:$F$548, 2, FALSE)</f>
        <v>16</v>
      </c>
      <c r="I137" s="2" t="s">
        <v>314</v>
      </c>
      <c r="J137" s="3" t="s">
        <v>18</v>
      </c>
    </row>
    <row r="138" ht="14.25" customHeight="1">
      <c r="A138" s="3">
        <v>27.0</v>
      </c>
      <c r="B138" s="3" t="s">
        <v>315</v>
      </c>
      <c r="C138" s="3" t="s">
        <v>316</v>
      </c>
      <c r="D138" s="5" t="str">
        <f t="shared" si="1"/>
        <v>10.1016/j.ocecoaman.2017.12.022</v>
      </c>
      <c r="E138" s="3" t="s">
        <v>248</v>
      </c>
      <c r="F138" s="3" t="s">
        <v>27</v>
      </c>
      <c r="G138" s="3" t="str">
        <f>VLOOKUP(F138, Pasarela!$A$1:$F$548, 5, FALSE)</f>
        <v>Physical and psychological experiences</v>
      </c>
      <c r="H138" s="3">
        <f>VLOOKUP(G138, Pasarela!$E$2:$F$548, 2, FALSE)</f>
        <v>16</v>
      </c>
      <c r="I138" s="2" t="s">
        <v>249</v>
      </c>
      <c r="J138" s="3" t="s">
        <v>286</v>
      </c>
    </row>
    <row r="139" ht="14.25" customHeight="1">
      <c r="A139" s="3">
        <v>25.0</v>
      </c>
      <c r="B139" s="3" t="s">
        <v>317</v>
      </c>
      <c r="C139" s="3" t="s">
        <v>318</v>
      </c>
      <c r="D139" s="5" t="str">
        <f t="shared" si="1"/>
        <v>10.1016/j.ufug.2022.127713</v>
      </c>
      <c r="E139" s="3" t="s">
        <v>31</v>
      </c>
      <c r="F139" s="3" t="s">
        <v>16</v>
      </c>
      <c r="G139" s="3" t="str">
        <f>VLOOKUP(F139, Pasarela!$A$1:$F$548, 5, FALSE)</f>
        <v>Physical and psychological experiences</v>
      </c>
      <c r="H139" s="3">
        <f>VLOOKUP(G139, Pasarela!$E$2:$F$548, 2, FALSE)</f>
        <v>16</v>
      </c>
      <c r="I139" s="2" t="s">
        <v>319</v>
      </c>
      <c r="J139" s="3" t="s">
        <v>18</v>
      </c>
    </row>
    <row r="140" ht="14.25" customHeight="1">
      <c r="A140" s="3">
        <v>25.0</v>
      </c>
      <c r="B140" s="3" t="s">
        <v>317</v>
      </c>
      <c r="C140" s="3" t="s">
        <v>318</v>
      </c>
      <c r="D140" s="5" t="str">
        <f t="shared" si="1"/>
        <v>10.1016/j.ufug.2022.127713</v>
      </c>
      <c r="E140" s="3" t="s">
        <v>320</v>
      </c>
      <c r="F140" s="3" t="s">
        <v>27</v>
      </c>
      <c r="G140" s="3" t="str">
        <f>VLOOKUP(F140, Pasarela!$A$1:$F$548, 5, FALSE)</f>
        <v>Physical and psychological experiences</v>
      </c>
      <c r="H140" s="3">
        <f>VLOOKUP(G140, Pasarela!$E$2:$F$548, 2, FALSE)</f>
        <v>16</v>
      </c>
      <c r="I140" s="2" t="s">
        <v>321</v>
      </c>
      <c r="J140" s="3" t="s">
        <v>18</v>
      </c>
    </row>
    <row r="141" ht="14.25" customHeight="1">
      <c r="A141" s="3">
        <v>25.0</v>
      </c>
      <c r="B141" s="3" t="s">
        <v>317</v>
      </c>
      <c r="C141" s="3" t="s">
        <v>318</v>
      </c>
      <c r="D141" s="5" t="str">
        <f t="shared" si="1"/>
        <v>10.1016/j.ufug.2022.127713</v>
      </c>
      <c r="E141" s="3" t="s">
        <v>322</v>
      </c>
      <c r="F141" s="3" t="s">
        <v>70</v>
      </c>
      <c r="G141" s="3" t="s">
        <v>71</v>
      </c>
      <c r="H141" s="3">
        <f>VLOOKUP(G141, Pasarela!$E$2:$F$548, 2, FALSE)</f>
        <v>17</v>
      </c>
      <c r="I141" s="2" t="s">
        <v>323</v>
      </c>
      <c r="J141" s="3" t="s">
        <v>18</v>
      </c>
    </row>
    <row r="142" ht="14.25" customHeight="1">
      <c r="A142" s="3">
        <v>19.0</v>
      </c>
      <c r="B142" s="3" t="s">
        <v>324</v>
      </c>
      <c r="C142" s="3" t="s">
        <v>325</v>
      </c>
      <c r="D142" s="5" t="str">
        <f t="shared" si="1"/>
        <v>10.3389/fpubh.2020.00370</v>
      </c>
      <c r="E142" s="3" t="s">
        <v>99</v>
      </c>
      <c r="F142" s="3" t="s">
        <v>16</v>
      </c>
      <c r="G142" s="3" t="str">
        <f>VLOOKUP(F142, Pasarela!$A$1:$F$548, 5, FALSE)</f>
        <v>Physical and psychological experiences</v>
      </c>
      <c r="H142" s="3">
        <f>VLOOKUP(G142, Pasarela!$E$2:$F$548, 2, FALSE)</f>
        <v>16</v>
      </c>
      <c r="I142" s="2" t="s">
        <v>326</v>
      </c>
      <c r="J142" s="3" t="s">
        <v>18</v>
      </c>
    </row>
    <row r="143" ht="14.25" customHeight="1">
      <c r="A143" s="3">
        <v>19.0</v>
      </c>
      <c r="B143" s="3" t="s">
        <v>324</v>
      </c>
      <c r="C143" s="3" t="s">
        <v>325</v>
      </c>
      <c r="D143" s="5" t="str">
        <f t="shared" si="1"/>
        <v>10.3389/fpubh.2020.00370</v>
      </c>
      <c r="E143" s="3" t="s">
        <v>327</v>
      </c>
      <c r="F143" s="3" t="s">
        <v>22</v>
      </c>
      <c r="G143" s="3" t="str">
        <f>VLOOKUP(F143, Pasarela!$A$1:$F$548, 5, FALSE)</f>
        <v>Physical and psychological experiences</v>
      </c>
      <c r="H143" s="3">
        <f>VLOOKUP(G143, Pasarela!$E$2:$F$548, 2, FALSE)</f>
        <v>16</v>
      </c>
      <c r="I143" s="2" t="s">
        <v>328</v>
      </c>
      <c r="J143" s="3" t="s">
        <v>18</v>
      </c>
    </row>
    <row r="144" ht="14.25" customHeight="1">
      <c r="A144" s="3">
        <v>19.0</v>
      </c>
      <c r="B144" s="3" t="s">
        <v>324</v>
      </c>
      <c r="C144" s="3" t="s">
        <v>325</v>
      </c>
      <c r="D144" s="5" t="str">
        <f t="shared" si="1"/>
        <v>10.3389/fpubh.2020.00370</v>
      </c>
      <c r="E144" s="3" t="s">
        <v>329</v>
      </c>
      <c r="F144" s="3" t="s">
        <v>34</v>
      </c>
      <c r="G144" s="3" t="str">
        <f>VLOOKUP(F144, Pasarela!$A$1:$F$548, 5, FALSE)</f>
        <v>Supporting identities</v>
      </c>
      <c r="H144" s="3">
        <f>VLOOKUP(G144, Pasarela!$E$2:$F$548, 2, FALSE)</f>
        <v>17</v>
      </c>
      <c r="I144" s="2" t="s">
        <v>330</v>
      </c>
      <c r="J144" s="3" t="s">
        <v>18</v>
      </c>
    </row>
    <row r="145" ht="14.25" customHeight="1">
      <c r="A145" s="3">
        <v>19.0</v>
      </c>
      <c r="B145" s="3" t="s">
        <v>324</v>
      </c>
      <c r="C145" s="3" t="s">
        <v>325</v>
      </c>
      <c r="D145" s="5" t="str">
        <f t="shared" si="1"/>
        <v>10.3389/fpubh.2020.00370</v>
      </c>
      <c r="E145" s="3" t="s">
        <v>161</v>
      </c>
      <c r="F145" s="3" t="s">
        <v>172</v>
      </c>
      <c r="G145" s="3" t="str">
        <f>VLOOKUP(F145, Pasarela!$A$1:$F$548, 5, FALSE)</f>
        <v>Physical and psychological experiences</v>
      </c>
      <c r="H145" s="3">
        <f>VLOOKUP(G145, Pasarela!$E$2:$F$548, 2, FALSE)</f>
        <v>16</v>
      </c>
      <c r="I145" s="2" t="s">
        <v>331</v>
      </c>
      <c r="J145" s="3" t="s">
        <v>18</v>
      </c>
    </row>
    <row r="146" ht="14.25" customHeight="1">
      <c r="A146" s="3">
        <v>19.0</v>
      </c>
      <c r="B146" s="3" t="s">
        <v>324</v>
      </c>
      <c r="C146" s="3" t="s">
        <v>325</v>
      </c>
      <c r="D146" s="5" t="str">
        <f t="shared" si="1"/>
        <v>10.3389/fpubh.2020.00370</v>
      </c>
      <c r="E146" s="3" t="s">
        <v>332</v>
      </c>
      <c r="F146" s="3" t="s">
        <v>56</v>
      </c>
      <c r="G146" s="3" t="str">
        <f>VLOOKUP(F146, Pasarela!$A$1:$F$548, 5, FALSE)</f>
        <v>Maintenance of options</v>
      </c>
      <c r="H146" s="3">
        <f>VLOOKUP(G146, Pasarela!$E$2:$F$548, 2, FALSE)</f>
        <v>18</v>
      </c>
      <c r="I146" s="2" t="s">
        <v>333</v>
      </c>
      <c r="J146" s="3" t="s">
        <v>18</v>
      </c>
    </row>
    <row r="147" ht="14.25" customHeight="1">
      <c r="A147" s="3">
        <v>19.0</v>
      </c>
      <c r="B147" s="3" t="s">
        <v>324</v>
      </c>
      <c r="C147" s="3" t="s">
        <v>325</v>
      </c>
      <c r="D147" s="5" t="str">
        <f t="shared" si="1"/>
        <v>10.3389/fpubh.2020.00370</v>
      </c>
      <c r="E147" s="3" t="s">
        <v>334</v>
      </c>
      <c r="F147" s="3" t="s">
        <v>34</v>
      </c>
      <c r="G147" s="3" t="str">
        <f>VLOOKUP(F147, Pasarela!$A$1:$F$548, 5, FALSE)</f>
        <v>Supporting identities</v>
      </c>
      <c r="H147" s="3">
        <f>VLOOKUP(G147, Pasarela!$E$2:$F$548, 2, FALSE)</f>
        <v>17</v>
      </c>
      <c r="I147" s="2" t="s">
        <v>335</v>
      </c>
      <c r="J147" s="3" t="s">
        <v>18</v>
      </c>
    </row>
    <row r="148" ht="14.25" customHeight="1">
      <c r="A148" s="3">
        <v>19.0</v>
      </c>
      <c r="B148" s="3" t="s">
        <v>324</v>
      </c>
      <c r="C148" s="3" t="s">
        <v>325</v>
      </c>
      <c r="D148" s="5" t="str">
        <f t="shared" si="1"/>
        <v>10.3389/fpubh.2020.00370</v>
      </c>
      <c r="E148" s="3" t="s">
        <v>336</v>
      </c>
      <c r="F148" s="3" t="s">
        <v>336</v>
      </c>
      <c r="G148" s="3" t="s">
        <v>71</v>
      </c>
      <c r="H148" s="3">
        <f>VLOOKUP(G148, Pasarela!$E$2:$F$548, 2, FALSE)</f>
        <v>17</v>
      </c>
      <c r="I148" s="2" t="s">
        <v>337</v>
      </c>
      <c r="J148" s="3" t="s">
        <v>18</v>
      </c>
    </row>
    <row r="149" ht="14.25" customHeight="1">
      <c r="A149" s="3">
        <v>19.0</v>
      </c>
      <c r="B149" s="3" t="s">
        <v>324</v>
      </c>
      <c r="C149" s="3" t="s">
        <v>325</v>
      </c>
      <c r="D149" s="5" t="str">
        <f t="shared" si="1"/>
        <v>10.3389/fpubh.2020.00370</v>
      </c>
      <c r="E149" s="3" t="s">
        <v>166</v>
      </c>
      <c r="F149" s="3" t="s">
        <v>53</v>
      </c>
      <c r="G149" s="3" t="str">
        <f>VLOOKUP(F149, Pasarela!$A$1:$F$548, 5, FALSE)</f>
        <v>Learning and inspiration</v>
      </c>
      <c r="H149" s="3">
        <f>VLOOKUP(G149, Pasarela!$E$2:$F$548, 2, FALSE)</f>
        <v>15</v>
      </c>
      <c r="I149" s="2" t="s">
        <v>338</v>
      </c>
      <c r="J149" s="3" t="s">
        <v>18</v>
      </c>
    </row>
    <row r="150" ht="14.25" customHeight="1">
      <c r="A150" s="3">
        <v>19.0</v>
      </c>
      <c r="B150" s="3" t="s">
        <v>324</v>
      </c>
      <c r="C150" s="3" t="s">
        <v>325</v>
      </c>
      <c r="D150" s="5" t="str">
        <f t="shared" si="1"/>
        <v>10.3389/fpubh.2020.00370</v>
      </c>
      <c r="E150" s="3" t="s">
        <v>339</v>
      </c>
      <c r="F150" s="3" t="s">
        <v>56</v>
      </c>
      <c r="G150" s="3" t="str">
        <f>VLOOKUP(F150, Pasarela!$A$1:$F$548, 5, FALSE)</f>
        <v>Maintenance of options</v>
      </c>
      <c r="H150" s="3">
        <f>VLOOKUP(G150, Pasarela!$E$2:$F$548, 2, FALSE)</f>
        <v>18</v>
      </c>
      <c r="I150" s="2" t="s">
        <v>340</v>
      </c>
      <c r="J150" s="3" t="s">
        <v>18</v>
      </c>
    </row>
    <row r="151" ht="14.25" customHeight="1">
      <c r="A151" s="3">
        <v>19.0</v>
      </c>
      <c r="B151" s="3" t="s">
        <v>324</v>
      </c>
      <c r="C151" s="3" t="s">
        <v>325</v>
      </c>
      <c r="D151" s="5" t="str">
        <f t="shared" si="1"/>
        <v>10.3389/fpubh.2020.00370</v>
      </c>
      <c r="E151" s="3" t="s">
        <v>27</v>
      </c>
      <c r="F151" s="3" t="s">
        <v>27</v>
      </c>
      <c r="G151" s="3" t="str">
        <f>VLOOKUP(F151, Pasarela!$A$1:$F$548, 5, FALSE)</f>
        <v>Physical and psychological experiences</v>
      </c>
      <c r="H151" s="3">
        <f>VLOOKUP(G151, Pasarela!$E$2:$F$548, 2, FALSE)</f>
        <v>16</v>
      </c>
      <c r="I151" s="2" t="s">
        <v>341</v>
      </c>
      <c r="J151" s="3" t="s">
        <v>18</v>
      </c>
    </row>
    <row r="152" ht="14.25" customHeight="1">
      <c r="A152" s="3">
        <v>19.0</v>
      </c>
      <c r="B152" s="3" t="s">
        <v>324</v>
      </c>
      <c r="C152" s="3" t="s">
        <v>325</v>
      </c>
      <c r="D152" s="5" t="str">
        <f t="shared" si="1"/>
        <v>10.3389/fpubh.2020.00370</v>
      </c>
      <c r="E152" s="3" t="s">
        <v>73</v>
      </c>
      <c r="F152" s="3" t="s">
        <v>74</v>
      </c>
      <c r="G152" s="3" t="str">
        <f>VLOOKUP(F152, Pasarela!$A$1:$F$548, 5, FALSE)</f>
        <v>Supporting identities</v>
      </c>
      <c r="H152" s="3">
        <f>VLOOKUP(G152, Pasarela!$E$2:$F$548, 2, FALSE)</f>
        <v>17</v>
      </c>
      <c r="I152" s="2" t="s">
        <v>342</v>
      </c>
      <c r="J152" s="3" t="s">
        <v>18</v>
      </c>
    </row>
    <row r="153" ht="14.25" customHeight="1">
      <c r="A153" s="3">
        <v>19.0</v>
      </c>
      <c r="B153" s="3" t="s">
        <v>324</v>
      </c>
      <c r="C153" s="3" t="s">
        <v>325</v>
      </c>
      <c r="D153" s="5" t="str">
        <f t="shared" si="1"/>
        <v>10.3389/fpubh.2020.00370</v>
      </c>
      <c r="E153" s="3" t="s">
        <v>343</v>
      </c>
      <c r="F153" s="3" t="s">
        <v>59</v>
      </c>
      <c r="G153" s="3" t="str">
        <f>VLOOKUP(F153, Pasarela!$A$1:$F$548, 5, FALSE)</f>
        <v>Physical and psychological experiences</v>
      </c>
      <c r="H153" s="3">
        <f>VLOOKUP(G153, Pasarela!$E$2:$F$548, 2, FALSE)</f>
        <v>16</v>
      </c>
      <c r="I153" s="2" t="s">
        <v>344</v>
      </c>
      <c r="J153" s="3" t="s">
        <v>18</v>
      </c>
    </row>
    <row r="154" ht="14.25" customHeight="1">
      <c r="A154" s="3">
        <v>37.0</v>
      </c>
      <c r="B154" s="3" t="s">
        <v>345</v>
      </c>
      <c r="C154" s="3" t="s">
        <v>346</v>
      </c>
      <c r="D154" s="5" t="str">
        <f t="shared" si="1"/>
        <v>10.1016/j.scs.2024.105237</v>
      </c>
      <c r="E154" s="3" t="s">
        <v>347</v>
      </c>
      <c r="F154" s="3" t="s">
        <v>16</v>
      </c>
      <c r="G154" s="3" t="str">
        <f>VLOOKUP(F154, Pasarela!$A$1:$F$548, 5, FALSE)</f>
        <v>Physical and psychological experiences</v>
      </c>
      <c r="H154" s="3">
        <f>VLOOKUP(G154, Pasarela!$E$2:$F$548, 2, FALSE)</f>
        <v>16</v>
      </c>
      <c r="I154" s="2" t="s">
        <v>348</v>
      </c>
      <c r="J154" s="3" t="s">
        <v>61</v>
      </c>
    </row>
    <row r="155" ht="14.25" customHeight="1">
      <c r="A155" s="3">
        <v>37.0</v>
      </c>
      <c r="B155" s="3" t="s">
        <v>345</v>
      </c>
      <c r="C155" s="3" t="s">
        <v>346</v>
      </c>
      <c r="D155" s="5" t="str">
        <f t="shared" si="1"/>
        <v>10.1016/j.scs.2024.105237</v>
      </c>
      <c r="E155" s="3" t="s">
        <v>347</v>
      </c>
      <c r="F155" s="3" t="s">
        <v>22</v>
      </c>
      <c r="G155" s="3" t="str">
        <f>VLOOKUP(F155, Pasarela!$A$1:$F$548, 5, FALSE)</f>
        <v>Physical and psychological experiences</v>
      </c>
      <c r="H155" s="3">
        <f>VLOOKUP(G155, Pasarela!$E$2:$F$548, 2, FALSE)</f>
        <v>16</v>
      </c>
      <c r="I155" s="2" t="s">
        <v>348</v>
      </c>
      <c r="J155" s="3" t="s">
        <v>61</v>
      </c>
    </row>
    <row r="156" ht="14.25" customHeight="1">
      <c r="A156" s="3">
        <v>37.0</v>
      </c>
      <c r="B156" s="3" t="s">
        <v>345</v>
      </c>
      <c r="C156" s="3" t="s">
        <v>346</v>
      </c>
      <c r="D156" s="5" t="str">
        <f t="shared" si="1"/>
        <v>10.1016/j.scs.2024.105237</v>
      </c>
      <c r="E156" s="3" t="s">
        <v>347</v>
      </c>
      <c r="F156" s="3" t="s">
        <v>27</v>
      </c>
      <c r="G156" s="3" t="str">
        <f>VLOOKUP(F156, Pasarela!$A$1:$F$548, 5, FALSE)</f>
        <v>Physical and psychological experiences</v>
      </c>
      <c r="H156" s="3">
        <f>VLOOKUP(G156, Pasarela!$E$2:$F$548, 2, FALSE)</f>
        <v>16</v>
      </c>
      <c r="I156" s="2" t="s">
        <v>349</v>
      </c>
      <c r="J156" s="3" t="s">
        <v>61</v>
      </c>
    </row>
    <row r="157" ht="14.25" customHeight="1">
      <c r="A157" s="3">
        <v>47.0</v>
      </c>
      <c r="B157" s="3" t="s">
        <v>350</v>
      </c>
      <c r="C157" s="3" t="s">
        <v>351</v>
      </c>
      <c r="D157" s="5" t="str">
        <f t="shared" si="1"/>
        <v>10.1002/pan3.10083</v>
      </c>
      <c r="E157" s="3" t="s">
        <v>352</v>
      </c>
      <c r="F157" s="3" t="s">
        <v>22</v>
      </c>
      <c r="G157" s="3" t="str">
        <f>VLOOKUP(F157, Pasarela!$A$1:$F$548, 5, FALSE)</f>
        <v>Physical and psychological experiences</v>
      </c>
      <c r="H157" s="3">
        <f>VLOOKUP(G157, Pasarela!$E$2:$F$548, 2, FALSE)</f>
        <v>16</v>
      </c>
      <c r="I157" s="2" t="s">
        <v>353</v>
      </c>
      <c r="J157" s="3" t="s">
        <v>18</v>
      </c>
    </row>
    <row r="158" ht="14.25" customHeight="1">
      <c r="A158" s="3">
        <v>47.0</v>
      </c>
      <c r="B158" s="3" t="s">
        <v>350</v>
      </c>
      <c r="C158" s="3" t="s">
        <v>351</v>
      </c>
      <c r="D158" s="5" t="str">
        <f t="shared" si="1"/>
        <v>10.1002/pan3.10083</v>
      </c>
      <c r="E158" s="3" t="s">
        <v>320</v>
      </c>
      <c r="F158" s="3" t="s">
        <v>27</v>
      </c>
      <c r="G158" s="3" t="str">
        <f>VLOOKUP(F158, Pasarela!$A$1:$F$548, 5, FALSE)</f>
        <v>Physical and psychological experiences</v>
      </c>
      <c r="H158" s="3">
        <f>VLOOKUP(G158, Pasarela!$E$2:$F$548, 2, FALSE)</f>
        <v>16</v>
      </c>
      <c r="I158" s="2" t="s">
        <v>354</v>
      </c>
      <c r="J158" s="3" t="s">
        <v>18</v>
      </c>
    </row>
    <row r="159" ht="14.25" customHeight="1">
      <c r="A159" s="3">
        <v>47.0</v>
      </c>
      <c r="B159" s="3" t="s">
        <v>350</v>
      </c>
      <c r="C159" s="3" t="s">
        <v>351</v>
      </c>
      <c r="D159" s="5" t="str">
        <f t="shared" si="1"/>
        <v>10.1002/pan3.10083</v>
      </c>
      <c r="E159" s="3" t="s">
        <v>355</v>
      </c>
      <c r="F159" s="3" t="s">
        <v>16</v>
      </c>
      <c r="G159" s="3" t="str">
        <f>VLOOKUP(F159, Pasarela!$A$1:$F$548, 5, FALSE)</f>
        <v>Physical and psychological experiences</v>
      </c>
      <c r="H159" s="3">
        <f>VLOOKUP(G159, Pasarela!$E$2:$F$548, 2, FALSE)</f>
        <v>16</v>
      </c>
      <c r="I159" s="2" t="s">
        <v>356</v>
      </c>
      <c r="J159" s="3" t="s">
        <v>18</v>
      </c>
    </row>
    <row r="160" ht="14.25" customHeight="1">
      <c r="A160" s="3">
        <v>47.0</v>
      </c>
      <c r="B160" s="3" t="s">
        <v>350</v>
      </c>
      <c r="C160" s="3" t="s">
        <v>351</v>
      </c>
      <c r="D160" s="5" t="str">
        <f t="shared" si="1"/>
        <v>10.1002/pan3.10083</v>
      </c>
      <c r="E160" s="3" t="s">
        <v>357</v>
      </c>
      <c r="F160" s="3" t="s">
        <v>27</v>
      </c>
      <c r="G160" s="3" t="str">
        <f>VLOOKUP(F160, Pasarela!$A$1:$F$548, 5, FALSE)</f>
        <v>Physical and psychological experiences</v>
      </c>
      <c r="H160" s="3">
        <f>VLOOKUP(G160, Pasarela!$E$2:$F$548, 2, FALSE)</f>
        <v>16</v>
      </c>
      <c r="I160" s="2" t="s">
        <v>358</v>
      </c>
      <c r="J160" s="3" t="s">
        <v>18</v>
      </c>
    </row>
    <row r="161" ht="14.25" customHeight="1">
      <c r="A161" s="3">
        <v>359.0</v>
      </c>
      <c r="B161" s="3" t="s">
        <v>359</v>
      </c>
      <c r="C161" s="3" t="s">
        <v>360</v>
      </c>
      <c r="D161" s="5" t="str">
        <f t="shared" si="1"/>
        <v>10.1111/conl.12704</v>
      </c>
      <c r="E161" s="3" t="s">
        <v>34</v>
      </c>
      <c r="F161" s="3" t="s">
        <v>34</v>
      </c>
      <c r="G161" s="3" t="str">
        <f>VLOOKUP(F161, Pasarela!$A$1:$F$548, 5, FALSE)</f>
        <v>Supporting identities</v>
      </c>
      <c r="H161" s="3">
        <f>VLOOKUP(G161, Pasarela!$E$2:$F$548, 2, FALSE)</f>
        <v>17</v>
      </c>
      <c r="I161" s="2" t="s">
        <v>361</v>
      </c>
      <c r="J161" s="3" t="s">
        <v>18</v>
      </c>
    </row>
    <row r="162" ht="14.25" customHeight="1">
      <c r="A162" s="3">
        <v>359.0</v>
      </c>
      <c r="B162" s="3" t="s">
        <v>359</v>
      </c>
      <c r="C162" s="3" t="s">
        <v>360</v>
      </c>
      <c r="D162" s="5" t="str">
        <f t="shared" si="1"/>
        <v>10.1111/conl.12704</v>
      </c>
      <c r="E162" s="3" t="s">
        <v>362</v>
      </c>
      <c r="F162" s="3" t="s">
        <v>22</v>
      </c>
      <c r="G162" s="3" t="str">
        <f>VLOOKUP(F162, Pasarela!$A$1:$F$548, 5, FALSE)</f>
        <v>Physical and psychological experiences</v>
      </c>
      <c r="H162" s="3">
        <f>VLOOKUP(G162, Pasarela!$E$2:$F$548, 2, FALSE)</f>
        <v>16</v>
      </c>
      <c r="I162" s="2" t="s">
        <v>363</v>
      </c>
      <c r="J162" s="3" t="s">
        <v>18</v>
      </c>
    </row>
    <row r="163" ht="14.25" customHeight="1">
      <c r="A163" s="3">
        <v>359.0</v>
      </c>
      <c r="B163" s="3" t="s">
        <v>359</v>
      </c>
      <c r="C163" s="3" t="s">
        <v>360</v>
      </c>
      <c r="D163" s="5" t="str">
        <f t="shared" si="1"/>
        <v>10.1111/conl.12704</v>
      </c>
      <c r="E163" s="3" t="s">
        <v>364</v>
      </c>
      <c r="F163" s="3" t="s">
        <v>16</v>
      </c>
      <c r="G163" s="3" t="str">
        <f>VLOOKUP(F163, Pasarela!$A$1:$F$548, 5, FALSE)</f>
        <v>Physical and psychological experiences</v>
      </c>
      <c r="H163" s="3">
        <f>VLOOKUP(G163, Pasarela!$E$2:$F$548, 2, FALSE)</f>
        <v>16</v>
      </c>
      <c r="I163" s="2" t="s">
        <v>365</v>
      </c>
      <c r="J163" s="3" t="s">
        <v>18</v>
      </c>
    </row>
    <row r="164" ht="14.25" customHeight="1">
      <c r="A164" s="3">
        <v>359.0</v>
      </c>
      <c r="B164" s="3" t="s">
        <v>359</v>
      </c>
      <c r="C164" s="3" t="s">
        <v>360</v>
      </c>
      <c r="D164" s="5" t="str">
        <f t="shared" si="1"/>
        <v>10.1111/conl.12704</v>
      </c>
      <c r="E164" s="3" t="s">
        <v>366</v>
      </c>
      <c r="F164" s="3" t="s">
        <v>27</v>
      </c>
      <c r="G164" s="3" t="str">
        <f>VLOOKUP(F164, Pasarela!$A$1:$F$548, 5, FALSE)</f>
        <v>Physical and psychological experiences</v>
      </c>
      <c r="H164" s="3">
        <f>VLOOKUP(G164, Pasarela!$E$2:$F$548, 2, FALSE)</f>
        <v>16</v>
      </c>
      <c r="I164" s="2" t="s">
        <v>367</v>
      </c>
      <c r="J164" s="3" t="s">
        <v>18</v>
      </c>
    </row>
    <row r="165" ht="14.25" customHeight="1">
      <c r="A165" s="3">
        <v>359.0</v>
      </c>
      <c r="B165" s="3" t="s">
        <v>359</v>
      </c>
      <c r="C165" s="3" t="s">
        <v>360</v>
      </c>
      <c r="D165" s="5" t="str">
        <f t="shared" si="1"/>
        <v>10.1111/conl.12704</v>
      </c>
      <c r="E165" s="3" t="s">
        <v>368</v>
      </c>
      <c r="F165" s="3" t="s">
        <v>368</v>
      </c>
      <c r="G165" s="3" t="str">
        <f>VLOOKUP(F165, Pasarela!$A$1:$F$548, 5, FALSE)</f>
        <v>Supporting identities</v>
      </c>
      <c r="H165" s="3">
        <f>VLOOKUP(G165, Pasarela!$E$2:$F$548, 2, FALSE)</f>
        <v>17</v>
      </c>
      <c r="I165" s="2" t="s">
        <v>369</v>
      </c>
      <c r="J165" s="3" t="s">
        <v>18</v>
      </c>
    </row>
    <row r="166" ht="14.25" customHeight="1">
      <c r="A166" s="7">
        <v>68.0</v>
      </c>
      <c r="B166" s="8" t="s">
        <v>370</v>
      </c>
      <c r="C166" s="8" t="s">
        <v>371</v>
      </c>
      <c r="D166" s="5" t="str">
        <f t="shared" si="1"/>
        <v>10.1016/j.ecolind.2015.01.034</v>
      </c>
      <c r="E166" s="8" t="s">
        <v>372</v>
      </c>
      <c r="F166" s="3" t="s">
        <v>22</v>
      </c>
      <c r="G166" s="3" t="str">
        <f>VLOOKUP(F166, Pasarela!$A$1:$F$548, 5, FALSE)</f>
        <v>Physical and psychological experiences</v>
      </c>
      <c r="H166" s="3">
        <f>VLOOKUP(G166, Pasarela!$E$2:$F$548, 2, FALSE)</f>
        <v>16</v>
      </c>
      <c r="I166" s="2" t="s">
        <v>373</v>
      </c>
      <c r="J166" s="3" t="s">
        <v>18</v>
      </c>
    </row>
    <row r="167" ht="14.25" customHeight="1">
      <c r="A167" s="7">
        <v>68.0</v>
      </c>
      <c r="B167" s="8" t="s">
        <v>370</v>
      </c>
      <c r="C167" s="8" t="s">
        <v>371</v>
      </c>
      <c r="D167" s="5" t="str">
        <f t="shared" si="1"/>
        <v>10.1016/j.ecolind.2015.01.034</v>
      </c>
      <c r="E167" s="3" t="s">
        <v>374</v>
      </c>
      <c r="F167" s="3" t="s">
        <v>16</v>
      </c>
      <c r="G167" s="3" t="str">
        <f>VLOOKUP(F167, Pasarela!$A$1:$F$548, 5, FALSE)</f>
        <v>Physical and psychological experiences</v>
      </c>
      <c r="H167" s="3">
        <f>VLOOKUP(G167, Pasarela!$E$2:$F$548, 2, FALSE)</f>
        <v>16</v>
      </c>
      <c r="I167" s="3" t="s">
        <v>375</v>
      </c>
      <c r="J167" s="3" t="s">
        <v>18</v>
      </c>
    </row>
    <row r="168" ht="14.25" customHeight="1">
      <c r="A168" s="7">
        <v>68.0</v>
      </c>
      <c r="B168" s="8" t="s">
        <v>370</v>
      </c>
      <c r="C168" s="8" t="s">
        <v>371</v>
      </c>
      <c r="D168" s="5" t="str">
        <f t="shared" si="1"/>
        <v>10.1016/j.ecolind.2015.01.034</v>
      </c>
      <c r="E168" s="8" t="s">
        <v>376</v>
      </c>
      <c r="F168" s="3" t="s">
        <v>27</v>
      </c>
      <c r="G168" s="3" t="str">
        <f>VLOOKUP(F168, Pasarela!$A$1:$F$548, 5, FALSE)</f>
        <v>Physical and psychological experiences</v>
      </c>
      <c r="H168" s="3">
        <f>VLOOKUP(G168, Pasarela!$E$2:$F$548, 2, FALSE)</f>
        <v>16</v>
      </c>
      <c r="I168" s="2" t="s">
        <v>377</v>
      </c>
      <c r="J168" s="3" t="s">
        <v>18</v>
      </c>
    </row>
    <row r="169" ht="14.25" customHeight="1">
      <c r="A169" s="7">
        <v>68.0</v>
      </c>
      <c r="B169" s="8" t="s">
        <v>370</v>
      </c>
      <c r="C169" s="8" t="s">
        <v>371</v>
      </c>
      <c r="D169" s="5" t="str">
        <f t="shared" si="1"/>
        <v>10.1016/j.ecolind.2015.01.034</v>
      </c>
      <c r="E169" s="8" t="s">
        <v>378</v>
      </c>
      <c r="F169" s="3" t="s">
        <v>172</v>
      </c>
      <c r="G169" s="3" t="str">
        <f>VLOOKUP(F169, Pasarela!$A$1:$F$548, 5, FALSE)</f>
        <v>Physical and psychological experiences</v>
      </c>
      <c r="H169" s="3">
        <f>VLOOKUP(G169, Pasarela!$E$2:$F$548, 2, FALSE)</f>
        <v>16</v>
      </c>
      <c r="I169" s="2" t="s">
        <v>379</v>
      </c>
      <c r="J169" s="3" t="s">
        <v>18</v>
      </c>
    </row>
    <row r="170" ht="14.25" customHeight="1">
      <c r="A170" s="7">
        <v>68.0</v>
      </c>
      <c r="B170" s="8" t="s">
        <v>370</v>
      </c>
      <c r="C170" s="8" t="s">
        <v>371</v>
      </c>
      <c r="D170" s="5" t="str">
        <f t="shared" si="1"/>
        <v>10.1016/j.ecolind.2015.01.034</v>
      </c>
      <c r="E170" s="8" t="s">
        <v>380</v>
      </c>
      <c r="F170" s="3" t="s">
        <v>34</v>
      </c>
      <c r="G170" s="3" t="str">
        <f>VLOOKUP(F170, Pasarela!$A$1:$F$548, 5, FALSE)</f>
        <v>Supporting identities</v>
      </c>
      <c r="H170" s="3">
        <f>VLOOKUP(G170, Pasarela!$E$2:$F$548, 2, FALSE)</f>
        <v>17</v>
      </c>
      <c r="I170" s="2" t="s">
        <v>381</v>
      </c>
      <c r="J170" s="3" t="s">
        <v>18</v>
      </c>
    </row>
    <row r="171" ht="14.25" customHeight="1">
      <c r="A171" s="7">
        <v>68.0</v>
      </c>
      <c r="B171" s="8" t="s">
        <v>370</v>
      </c>
      <c r="C171" s="8" t="s">
        <v>371</v>
      </c>
      <c r="D171" s="5" t="str">
        <f t="shared" si="1"/>
        <v>10.1016/j.ecolind.2015.01.034</v>
      </c>
      <c r="E171" s="8" t="s">
        <v>65</v>
      </c>
      <c r="F171" s="3" t="s">
        <v>65</v>
      </c>
      <c r="G171" s="3" t="str">
        <f>VLOOKUP(F171, Pasarela!$A$1:$F$548, 5, FALSE)</f>
        <v>Learning and inspiration</v>
      </c>
      <c r="H171" s="3">
        <f>VLOOKUP(G171, Pasarela!$E$2:$F$548, 2, FALSE)</f>
        <v>15</v>
      </c>
      <c r="I171" s="2" t="s">
        <v>382</v>
      </c>
      <c r="J171" s="3" t="s">
        <v>18</v>
      </c>
    </row>
    <row r="172" ht="14.25" customHeight="1">
      <c r="A172" s="3">
        <v>145.0</v>
      </c>
      <c r="B172" s="8" t="s">
        <v>383</v>
      </c>
      <c r="C172" s="8" t="s">
        <v>384</v>
      </c>
      <c r="D172" s="5" t="str">
        <f t="shared" si="1"/>
        <v>10.1007/s10980-022-01467-z</v>
      </c>
      <c r="E172" s="3" t="s">
        <v>99</v>
      </c>
      <c r="F172" s="3" t="s">
        <v>16</v>
      </c>
      <c r="G172" s="3" t="str">
        <f>VLOOKUP(F172, Pasarela!$A$1:$F$548, 5, FALSE)</f>
        <v>Physical and psychological experiences</v>
      </c>
      <c r="H172" s="3">
        <f>VLOOKUP(G172, Pasarela!$E$2:$F$548, 2, FALSE)</f>
        <v>16</v>
      </c>
      <c r="I172" s="2" t="s">
        <v>385</v>
      </c>
      <c r="J172" s="3" t="s">
        <v>18</v>
      </c>
    </row>
    <row r="173" ht="14.25" customHeight="1">
      <c r="A173" s="3">
        <v>145.0</v>
      </c>
      <c r="B173" s="8" t="s">
        <v>383</v>
      </c>
      <c r="C173" s="8" t="s">
        <v>384</v>
      </c>
      <c r="D173" s="5" t="str">
        <f t="shared" si="1"/>
        <v>10.1007/s10980-022-01467-z</v>
      </c>
      <c r="E173" s="3" t="s">
        <v>386</v>
      </c>
      <c r="F173" s="3" t="s">
        <v>34</v>
      </c>
      <c r="G173" s="3" t="str">
        <f>VLOOKUP(F173, Pasarela!$A$1:$F$548, 5, FALSE)</f>
        <v>Supporting identities</v>
      </c>
      <c r="H173" s="3">
        <f>VLOOKUP(G173, Pasarela!$E$2:$F$548, 2, FALSE)</f>
        <v>17</v>
      </c>
      <c r="I173" s="2" t="s">
        <v>387</v>
      </c>
      <c r="J173" s="3" t="s">
        <v>18</v>
      </c>
    </row>
    <row r="174" ht="14.25" customHeight="1">
      <c r="A174" s="3">
        <v>145.0</v>
      </c>
      <c r="B174" s="8" t="s">
        <v>383</v>
      </c>
      <c r="C174" s="8" t="s">
        <v>384</v>
      </c>
      <c r="D174" s="5" t="str">
        <f t="shared" si="1"/>
        <v>10.1007/s10980-022-01467-z</v>
      </c>
      <c r="E174" s="3" t="s">
        <v>388</v>
      </c>
      <c r="F174" s="3" t="s">
        <v>27</v>
      </c>
      <c r="G174" s="3" t="str">
        <f>VLOOKUP(F174, Pasarela!$A$1:$F$548, 5, FALSE)</f>
        <v>Physical and psychological experiences</v>
      </c>
      <c r="H174" s="3">
        <f>VLOOKUP(G174, Pasarela!$E$2:$F$548, 2, FALSE)</f>
        <v>16</v>
      </c>
      <c r="I174" s="2" t="s">
        <v>389</v>
      </c>
      <c r="J174" s="3" t="s">
        <v>18</v>
      </c>
    </row>
    <row r="175" ht="14.25" customHeight="1">
      <c r="A175" s="3">
        <v>145.0</v>
      </c>
      <c r="B175" s="8" t="s">
        <v>383</v>
      </c>
      <c r="C175" s="8" t="s">
        <v>384</v>
      </c>
      <c r="D175" s="5" t="str">
        <f t="shared" si="1"/>
        <v>10.1007/s10980-022-01467-z</v>
      </c>
      <c r="E175" s="3" t="s">
        <v>388</v>
      </c>
      <c r="F175" s="3" t="s">
        <v>59</v>
      </c>
      <c r="G175" s="3" t="str">
        <f>VLOOKUP(F175, Pasarela!$A$1:$F$548, 5, FALSE)</f>
        <v>Physical and psychological experiences</v>
      </c>
      <c r="H175" s="3">
        <f>VLOOKUP(G175, Pasarela!$E$2:$F$548, 2, FALSE)</f>
        <v>16</v>
      </c>
      <c r="I175" s="2" t="s">
        <v>389</v>
      </c>
      <c r="J175" s="3" t="s">
        <v>18</v>
      </c>
    </row>
    <row r="176" ht="14.25" customHeight="1">
      <c r="A176" s="7">
        <v>379.0</v>
      </c>
      <c r="B176" s="8" t="s">
        <v>390</v>
      </c>
      <c r="C176" s="8" t="s">
        <v>391</v>
      </c>
      <c r="D176" s="5" t="str">
        <f t="shared" si="1"/>
        <v>10.1073/pnas.2107662119</v>
      </c>
      <c r="E176" s="3" t="s">
        <v>392</v>
      </c>
      <c r="F176" s="3" t="s">
        <v>27</v>
      </c>
      <c r="G176" s="3" t="s">
        <v>393</v>
      </c>
      <c r="H176" s="3">
        <f>VLOOKUP(G176, Pasarela!$E$2:$F$548, 2, FALSE)</f>
        <v>16</v>
      </c>
      <c r="I176" s="3" t="s">
        <v>394</v>
      </c>
      <c r="J176" s="3" t="s">
        <v>286</v>
      </c>
    </row>
    <row r="177" ht="14.25" customHeight="1">
      <c r="A177" s="6">
        <v>403.0</v>
      </c>
      <c r="B177" s="3" t="s">
        <v>395</v>
      </c>
      <c r="C177" s="3" t="s">
        <v>396</v>
      </c>
      <c r="D177" s="5" t="str">
        <f t="shared" si="1"/>
        <v>10.1016/j.compenvurbsys.2018.01.007</v>
      </c>
      <c r="E177" s="3" t="s">
        <v>27</v>
      </c>
      <c r="F177" s="3" t="s">
        <v>27</v>
      </c>
      <c r="G177" s="3" t="s">
        <v>393</v>
      </c>
      <c r="H177" s="3">
        <f>VLOOKUP(G177, Pasarela!$E$2:$F$548, 2, FALSE)</f>
        <v>16</v>
      </c>
      <c r="I177" s="2" t="s">
        <v>397</v>
      </c>
      <c r="J177" s="3" t="s">
        <v>286</v>
      </c>
    </row>
    <row r="178" ht="14.25" customHeight="1">
      <c r="A178" s="6">
        <v>408.0</v>
      </c>
      <c r="B178" s="3" t="s">
        <v>398</v>
      </c>
      <c r="C178" s="3" t="s">
        <v>399</v>
      </c>
      <c r="D178" s="5" t="str">
        <f t="shared" si="1"/>
        <v>10.1016/j.landurbplan.2024.105131</v>
      </c>
      <c r="E178" s="9" t="s">
        <v>400</v>
      </c>
      <c r="F178" s="3" t="s">
        <v>59</v>
      </c>
      <c r="G178" s="3" t="s">
        <v>393</v>
      </c>
      <c r="H178" s="3">
        <f>VLOOKUP(G178, Pasarela!$E$2:$F$548, 2, FALSE)</f>
        <v>16</v>
      </c>
      <c r="I178" s="2" t="s">
        <v>401</v>
      </c>
      <c r="J178" s="3" t="s">
        <v>286</v>
      </c>
    </row>
    <row r="179" ht="14.25" customHeight="1">
      <c r="A179" s="10">
        <v>411.0</v>
      </c>
      <c r="B179" s="11" t="s">
        <v>402</v>
      </c>
      <c r="C179" s="11" t="s">
        <v>403</v>
      </c>
      <c r="D179" s="12" t="str">
        <f t="shared" si="1"/>
        <v>10.1016/j.jclepro.2022.130715</v>
      </c>
      <c r="E179" s="11" t="s">
        <v>404</v>
      </c>
      <c r="F179" s="11" t="s">
        <v>22</v>
      </c>
      <c r="G179" s="11" t="s">
        <v>393</v>
      </c>
      <c r="H179" s="3">
        <f>VLOOKUP(G179, Pasarela!$E$2:$F$548, 2, FALSE)</f>
        <v>16</v>
      </c>
      <c r="I179" s="2" t="s">
        <v>405</v>
      </c>
      <c r="J179" s="3" t="s">
        <v>286</v>
      </c>
    </row>
    <row r="180" ht="14.25" customHeight="1">
      <c r="A180" s="13">
        <v>444.0</v>
      </c>
      <c r="B180" s="14" t="s">
        <v>406</v>
      </c>
      <c r="C180" s="14" t="s">
        <v>407</v>
      </c>
      <c r="D180" s="12" t="str">
        <f t="shared" si="1"/>
        <v>10.1016/j.tourman.2018.12.005</v>
      </c>
      <c r="E180" s="14" t="s">
        <v>392</v>
      </c>
      <c r="F180" s="14" t="s">
        <v>22</v>
      </c>
      <c r="G180" s="14" t="s">
        <v>393</v>
      </c>
      <c r="H180" s="3">
        <f>VLOOKUP(G180, Pasarela!$E$2:$F$548, 2, FALSE)</f>
        <v>16</v>
      </c>
      <c r="I180" s="2" t="s">
        <v>408</v>
      </c>
      <c r="J180" s="3" t="s">
        <v>286</v>
      </c>
    </row>
    <row r="181" ht="14.25" customHeight="1">
      <c r="A181" s="10">
        <v>477.0</v>
      </c>
      <c r="B181" s="11" t="s">
        <v>409</v>
      </c>
      <c r="C181" s="11" t="s">
        <v>410</v>
      </c>
      <c r="D181" s="12" t="str">
        <f t="shared" si="1"/>
        <v>10.1016/j.ufug.2022.127570</v>
      </c>
      <c r="E181" s="11" t="s">
        <v>27</v>
      </c>
      <c r="F181" s="11" t="s">
        <v>27</v>
      </c>
      <c r="G181" s="11" t="s">
        <v>393</v>
      </c>
      <c r="H181" s="3">
        <f>VLOOKUP(G181, Pasarela!$E$2:$F$548, 2, FALSE)</f>
        <v>16</v>
      </c>
      <c r="I181" s="2" t="s">
        <v>408</v>
      </c>
      <c r="J181" s="3" t="s">
        <v>286</v>
      </c>
    </row>
    <row r="182" ht="14.25" customHeight="1">
      <c r="A182" s="15">
        <v>508.0</v>
      </c>
      <c r="B182" s="14" t="s">
        <v>411</v>
      </c>
      <c r="C182" s="14" t="s">
        <v>412</v>
      </c>
      <c r="D182" s="12" t="str">
        <f t="shared" si="1"/>
        <v>10.1002/aqc.4233</v>
      </c>
      <c r="E182" s="14" t="s">
        <v>374</v>
      </c>
      <c r="F182" s="14" t="s">
        <v>16</v>
      </c>
      <c r="G182" s="14" t="s">
        <v>393</v>
      </c>
      <c r="H182" s="3">
        <f>VLOOKUP(G182, Pasarela!$E$2:$F$548, 2, FALSE)</f>
        <v>16</v>
      </c>
      <c r="I182" s="2" t="s">
        <v>413</v>
      </c>
      <c r="J182" s="3" t="s">
        <v>18</v>
      </c>
    </row>
    <row r="183" ht="14.25" customHeight="1">
      <c r="A183" s="15">
        <v>508.0</v>
      </c>
      <c r="B183" s="11" t="s">
        <v>411</v>
      </c>
      <c r="C183" s="11" t="s">
        <v>412</v>
      </c>
      <c r="D183" s="12" t="str">
        <f t="shared" si="1"/>
        <v>10.1002/aqc.4233</v>
      </c>
      <c r="E183" s="11" t="s">
        <v>414</v>
      </c>
      <c r="F183" s="11" t="s">
        <v>34</v>
      </c>
      <c r="G183" s="11" t="s">
        <v>71</v>
      </c>
      <c r="H183" s="3">
        <f>VLOOKUP(G183, Pasarela!$E$2:$F$548, 2, FALSE)</f>
        <v>17</v>
      </c>
      <c r="I183" s="2" t="s">
        <v>415</v>
      </c>
      <c r="J183" s="3" t="s">
        <v>18</v>
      </c>
    </row>
    <row r="184" ht="14.25" customHeight="1">
      <c r="A184" s="15">
        <v>508.0</v>
      </c>
      <c r="B184" s="14" t="s">
        <v>411</v>
      </c>
      <c r="C184" s="14" t="s">
        <v>412</v>
      </c>
      <c r="D184" s="12" t="str">
        <f t="shared" si="1"/>
        <v>10.1002/aqc.4233</v>
      </c>
      <c r="E184" s="14" t="s">
        <v>327</v>
      </c>
      <c r="F184" s="14" t="s">
        <v>336</v>
      </c>
      <c r="G184" s="14" t="s">
        <v>71</v>
      </c>
      <c r="H184" s="3">
        <f>VLOOKUP(G184, Pasarela!$E$2:$F$548, 2, FALSE)</f>
        <v>17</v>
      </c>
      <c r="I184" s="2" t="s">
        <v>416</v>
      </c>
      <c r="J184" s="3" t="s">
        <v>18</v>
      </c>
    </row>
    <row r="185" ht="14.25" customHeight="1">
      <c r="A185" s="15">
        <v>508.0</v>
      </c>
      <c r="B185" s="11" t="s">
        <v>411</v>
      </c>
      <c r="C185" s="11" t="s">
        <v>412</v>
      </c>
      <c r="D185" s="12" t="str">
        <f t="shared" si="1"/>
        <v>10.1002/aqc.4233</v>
      </c>
      <c r="E185" s="11" t="s">
        <v>417</v>
      </c>
      <c r="F185" s="11" t="s">
        <v>27</v>
      </c>
      <c r="G185" s="11" t="s">
        <v>393</v>
      </c>
      <c r="H185" s="3">
        <f>VLOOKUP(G185, Pasarela!$E$2:$F$548, 2, FALSE)</f>
        <v>16</v>
      </c>
      <c r="I185" s="2" t="s">
        <v>418</v>
      </c>
      <c r="J185" s="3" t="s">
        <v>18</v>
      </c>
    </row>
    <row r="186" ht="14.25" customHeight="1">
      <c r="A186" s="3"/>
      <c r="B186" s="8"/>
      <c r="C186" s="8"/>
      <c r="E186" s="3"/>
      <c r="F186" s="3"/>
      <c r="I186" s="2"/>
      <c r="J186" s="3"/>
    </row>
  </sheetData>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86"/>
    <col customWidth="1" min="2" max="2" width="72.86"/>
    <col customWidth="1" min="3" max="3" width="212.14"/>
    <col customWidth="1" min="4" max="4" width="26.29"/>
    <col customWidth="1" min="5" max="5" width="24.14"/>
  </cols>
  <sheetData>
    <row r="1">
      <c r="A1" s="1" t="s">
        <v>419</v>
      </c>
      <c r="B1" s="1" t="s">
        <v>420</v>
      </c>
      <c r="C1" s="1" t="s">
        <v>421</v>
      </c>
      <c r="D1" s="1" t="s">
        <v>422</v>
      </c>
      <c r="E1" s="1" t="s">
        <v>423</v>
      </c>
      <c r="F1" s="1" t="s">
        <v>424</v>
      </c>
      <c r="G1" s="1"/>
      <c r="H1" s="1"/>
      <c r="I1" s="1"/>
      <c r="J1" s="1"/>
      <c r="K1" s="1"/>
      <c r="L1" s="1"/>
      <c r="M1" s="1"/>
      <c r="N1" s="1"/>
      <c r="O1" s="1"/>
      <c r="P1" s="1"/>
      <c r="Q1" s="1"/>
      <c r="R1" s="1"/>
      <c r="S1" s="1"/>
      <c r="T1" s="1"/>
      <c r="U1" s="1"/>
      <c r="V1" s="1"/>
      <c r="W1" s="1"/>
      <c r="X1" s="1"/>
      <c r="Y1" s="1"/>
    </row>
    <row r="2">
      <c r="A2" s="3" t="s">
        <v>265</v>
      </c>
      <c r="B2" s="3" t="s">
        <v>425</v>
      </c>
      <c r="C2" s="3" t="s">
        <v>426</v>
      </c>
      <c r="D2" s="3" t="s">
        <v>426</v>
      </c>
      <c r="E2" s="3" t="s">
        <v>71</v>
      </c>
      <c r="F2" s="3">
        <v>17.0</v>
      </c>
    </row>
    <row r="3">
      <c r="A3" s="3" t="s">
        <v>53</v>
      </c>
      <c r="B3" s="3" t="s">
        <v>427</v>
      </c>
      <c r="C3" s="3" t="s">
        <v>428</v>
      </c>
      <c r="D3" s="3" t="s">
        <v>429</v>
      </c>
      <c r="E3" s="3" t="s">
        <v>63</v>
      </c>
      <c r="F3" s="3">
        <v>15.0</v>
      </c>
    </row>
    <row r="4">
      <c r="A4" s="3" t="s">
        <v>22</v>
      </c>
      <c r="B4" s="3" t="s">
        <v>430</v>
      </c>
      <c r="C4" s="3" t="s">
        <v>431</v>
      </c>
      <c r="D4" s="3" t="s">
        <v>432</v>
      </c>
      <c r="E4" s="3" t="s">
        <v>393</v>
      </c>
      <c r="F4" s="3">
        <v>16.0</v>
      </c>
    </row>
    <row r="5">
      <c r="A5" s="3" t="s">
        <v>34</v>
      </c>
      <c r="B5" s="3" t="s">
        <v>433</v>
      </c>
      <c r="C5" s="3" t="s">
        <v>434</v>
      </c>
      <c r="D5" s="3" t="s">
        <v>426</v>
      </c>
      <c r="E5" s="3" t="s">
        <v>71</v>
      </c>
      <c r="F5" s="3">
        <v>17.0</v>
      </c>
    </row>
    <row r="6">
      <c r="A6" s="3" t="s">
        <v>172</v>
      </c>
      <c r="B6" s="3" t="s">
        <v>172</v>
      </c>
      <c r="C6" s="3" t="s">
        <v>431</v>
      </c>
      <c r="D6" s="3" t="s">
        <v>435</v>
      </c>
      <c r="E6" s="3" t="s">
        <v>393</v>
      </c>
      <c r="F6" s="3">
        <v>16.0</v>
      </c>
    </row>
    <row r="7">
      <c r="A7" s="3" t="s">
        <v>27</v>
      </c>
      <c r="B7" s="3" t="s">
        <v>436</v>
      </c>
      <c r="C7" s="3" t="s">
        <v>431</v>
      </c>
      <c r="D7" s="3" t="s">
        <v>435</v>
      </c>
      <c r="E7" s="3" t="s">
        <v>393</v>
      </c>
      <c r="F7" s="3">
        <v>16.0</v>
      </c>
    </row>
    <row r="8">
      <c r="A8" s="3" t="s">
        <v>59</v>
      </c>
      <c r="B8" s="3" t="s">
        <v>437</v>
      </c>
      <c r="C8" s="3" t="s">
        <v>431</v>
      </c>
      <c r="D8" s="3" t="s">
        <v>435</v>
      </c>
      <c r="E8" s="3" t="s">
        <v>393</v>
      </c>
      <c r="F8" s="3">
        <v>16.0</v>
      </c>
    </row>
    <row r="9">
      <c r="A9" s="3" t="s">
        <v>65</v>
      </c>
      <c r="B9" s="3" t="s">
        <v>438</v>
      </c>
      <c r="C9" s="3" t="s">
        <v>428</v>
      </c>
      <c r="D9" s="3" t="s">
        <v>429</v>
      </c>
      <c r="E9" s="3" t="s">
        <v>63</v>
      </c>
      <c r="F9" s="3">
        <v>15.0</v>
      </c>
    </row>
    <row r="10">
      <c r="A10" s="3" t="s">
        <v>16</v>
      </c>
      <c r="B10" s="3" t="s">
        <v>439</v>
      </c>
      <c r="C10" s="3" t="s">
        <v>431</v>
      </c>
      <c r="D10" s="3" t="s">
        <v>435</v>
      </c>
      <c r="E10" s="3" t="s">
        <v>393</v>
      </c>
      <c r="F10" s="3">
        <v>16.0</v>
      </c>
    </row>
    <row r="11">
      <c r="A11" s="3" t="s">
        <v>74</v>
      </c>
      <c r="B11" s="3" t="s">
        <v>440</v>
      </c>
      <c r="C11" s="3" t="s">
        <v>434</v>
      </c>
      <c r="D11" s="3" t="s">
        <v>426</v>
      </c>
      <c r="E11" s="3" t="s">
        <v>71</v>
      </c>
      <c r="F11" s="3">
        <v>17.0</v>
      </c>
    </row>
    <row r="12">
      <c r="A12" s="3" t="s">
        <v>368</v>
      </c>
      <c r="B12" s="3" t="s">
        <v>441</v>
      </c>
      <c r="C12" s="3" t="s">
        <v>434</v>
      </c>
      <c r="D12" s="3" t="s">
        <v>426</v>
      </c>
      <c r="E12" s="3" t="s">
        <v>71</v>
      </c>
      <c r="F12" s="3">
        <v>17.0</v>
      </c>
    </row>
    <row r="13">
      <c r="A13" s="3" t="s">
        <v>56</v>
      </c>
      <c r="B13" s="3" t="s">
        <v>56</v>
      </c>
      <c r="C13" s="3" t="s">
        <v>442</v>
      </c>
      <c r="D13" s="3" t="s">
        <v>443</v>
      </c>
      <c r="E13" s="3" t="s">
        <v>56</v>
      </c>
      <c r="F13" s="3">
        <v>18.0</v>
      </c>
    </row>
    <row r="14">
      <c r="A14" s="3" t="s">
        <v>336</v>
      </c>
      <c r="B14" s="3" t="s">
        <v>336</v>
      </c>
      <c r="E14" s="3" t="s">
        <v>56</v>
      </c>
    </row>
    <row r="15">
      <c r="A15" s="3" t="s">
        <v>70</v>
      </c>
      <c r="B15" s="3" t="s">
        <v>70</v>
      </c>
      <c r="C15" s="3" t="s">
        <v>434</v>
      </c>
      <c r="D15" s="3" t="s">
        <v>426</v>
      </c>
      <c r="E15" s="3" t="s">
        <v>71</v>
      </c>
      <c r="F15" s="3">
        <v>17.0</v>
      </c>
    </row>
    <row r="16">
      <c r="A16" s="3" t="s">
        <v>62</v>
      </c>
      <c r="B16" s="3" t="s">
        <v>62</v>
      </c>
      <c r="C16" s="3" t="s">
        <v>428</v>
      </c>
      <c r="D16" s="3" t="s">
        <v>429</v>
      </c>
      <c r="E16" s="3" t="s">
        <v>63</v>
      </c>
      <c r="F16" s="3">
        <v>15.0</v>
      </c>
    </row>
    <row r="17">
      <c r="A17" s="3" t="s">
        <v>128</v>
      </c>
      <c r="B17" s="3" t="s">
        <v>128</v>
      </c>
      <c r="C17" s="3" t="s">
        <v>444</v>
      </c>
      <c r="D17" s="3" t="s">
        <v>444</v>
      </c>
      <c r="E17" s="3" t="s">
        <v>128</v>
      </c>
      <c r="F17" s="3" t="s">
        <v>445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2024-07-02T11:03:44Z</dcterms:created>
  <dc:creator>carlo</dc:creator>
</cp:coreProperties>
</file>